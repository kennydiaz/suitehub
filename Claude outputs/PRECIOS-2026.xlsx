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suitehub\Claude outputs\"/>
    </mc:Choice>
  </mc:AlternateContent>
  <xr:revisionPtr revIDLastSave="0" documentId="13_ncr:1_{7821DB2A-8C68-437A-A58C-5B9605DD7FE5}" xr6:coauthVersionLast="47" xr6:coauthVersionMax="47" xr10:uidLastSave="{00000000-0000-0000-0000-000000000000}"/>
  <bookViews>
    <workbookView xWindow="7776" yWindow="2712" windowWidth="31812" windowHeight="13020" tabRatio="500" activeTab="2" xr2:uid="{00000000-000D-0000-FFFF-FFFF00000000}"/>
  </bookViews>
  <sheets>
    <sheet name="Leeme" sheetId="1" r:id="rId1"/>
    <sheet name="Ediciones" sheetId="2" r:id="rId2"/>
    <sheet name="Verticales" sheetId="3" r:id="rId3"/>
    <sheet name="Add-ons" sheetId="4" r:id="rId4"/>
    <sheet name="Especiales" sheetId="5" r:id="rId5"/>
    <sheet name="Conflictos" sheetId="6" r:id="rId6"/>
    <sheet name="Historial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8" i="3" l="1"/>
  <c r="K16" i="3"/>
  <c r="E11" i="5"/>
  <c r="E10" i="5"/>
  <c r="E9" i="5"/>
  <c r="E8" i="5"/>
  <c r="E7" i="5"/>
  <c r="E6" i="5"/>
  <c r="E5" i="5"/>
  <c r="K22" i="3"/>
  <c r="K21" i="3"/>
  <c r="K20" i="3"/>
  <c r="K19" i="3"/>
  <c r="K17" i="3"/>
  <c r="K15" i="3"/>
  <c r="K14" i="3"/>
  <c r="K13" i="3"/>
  <c r="K12" i="3"/>
  <c r="K11" i="3"/>
  <c r="K10" i="3"/>
  <c r="K9" i="3"/>
  <c r="K8" i="3"/>
  <c r="K7" i="3"/>
  <c r="K6" i="3"/>
  <c r="K5" i="3"/>
  <c r="D8" i="2"/>
  <c r="D7" i="2"/>
  <c r="D6" i="2"/>
  <c r="D5" i="2"/>
  <c r="C7" i="1"/>
</calcChain>
</file>

<file path=xl/sharedStrings.xml><?xml version="1.0" encoding="utf-8"?>
<sst xmlns="http://schemas.openxmlformats.org/spreadsheetml/2006/main" count="565" uniqueCount="348">
  <si>
    <t>SuiteHub · Catálogo de precios 2026 — mesa de revisión</t>
  </si>
  <si>
    <t>Consolidado de TODAS las fuentes de precio que existen hoy (panel, sitio, docs, estudio de mercado, modelo de mayo) para revisar y decidir en un solo lugar.</t>
  </si>
  <si>
    <t>Generado 2026-09-06 · Base de trabajo: C:\xampp\htdocs\_suitehub-brand\catalogo\</t>
  </si>
  <si>
    <t>Parámetros</t>
  </si>
  <si>
    <t>Factor anual (anual = mensual × factor)</t>
  </si>
  <si>
    <t>Descuento anual equivalente</t>
  </si>
  <si>
    <t>Moneda</t>
  </si>
  <si>
    <t>USD (Balboa a la par)</t>
  </si>
  <si>
    <t>Entidad Panamá</t>
  </si>
  <si>
    <t>PROOQ S.A. — base de operaciones Panamá</t>
  </si>
  <si>
    <t>Entidad USA</t>
  </si>
  <si>
    <t>PROOQ LLC — base de operaciones EE.UU.</t>
  </si>
  <si>
    <t>Deltas de módulo adicional ($/mes, uso futuro)</t>
  </si>
  <si>
    <t>Grupo</t>
  </si>
  <si>
    <t>$/mes</t>
  </si>
  <si>
    <t>ligero</t>
  </si>
  <si>
    <t>medio</t>
  </si>
  <si>
    <t>pesado</t>
  </si>
  <si>
    <t>Jerarquía de fuentes (de más a menos autoritativa hoy)</t>
  </si>
  <si>
    <t>#</t>
  </si>
  <si>
    <t>Fuente</t>
  </si>
  <si>
    <t>Qué es / dónde vive</t>
  </si>
  <si>
    <t>1</t>
  </si>
  <si>
    <t>Panel en vivo</t>
  </si>
  <si>
    <t>panel.suitehub.net → Catalog.php defaults() + overrides en BD (catalog_versions). Export público /?r=catalog/json. Es lo que ve el cliente en landings y correos.</t>
  </si>
  <si>
    <t>2</t>
  </si>
  <si>
    <t>JSON del sitio</t>
  </si>
  <si>
    <t>suitehub/src/data/catalogo.json (copia del export, 2026-08-02). Alimenta suitehub.net/precios en build.</t>
  </si>
  <si>
    <t>3</t>
  </si>
  <si>
    <t>CATALOGO.md</t>
  </si>
  <si>
    <t>suitehub/CATALOGO.md (2026-06-25). Documento humano del modelo de ediciones. Puede ir por detrás del panel.</t>
  </si>
  <si>
    <t>4</t>
  </si>
  <si>
    <t>Products.php</t>
  </si>
  <si>
    <t>panel/src/Products.php. Solo trae precio para productos SIN contraparte en catálogo: pos, market, boutique.</t>
  </si>
  <si>
    <t>5</t>
  </si>
  <si>
    <t>PRODUCTS.md (brand)</t>
  </si>
  <si>
    <t>_suitehub-brand/PRODUCTS.md (2026-05-22). Estado de productos y colores; no es fuente de precio.</t>
  </si>
  <si>
    <t>6</t>
  </si>
  <si>
    <t>Estudio de mercado jun-2026</t>
  </si>
  <si>
    <t>_suitehub-brand/estudio-mercado-2026/SuiteHub-Precios-Panama-2026.xlsx. Modelo ANTERIOR: 3 planes por producto + setup one-time.</t>
  </si>
  <si>
    <t>7</t>
  </si>
  <si>
    <t>Modelo mayo-2026 (memoria)</t>
  </si>
  <si>
    <t>Puntos a $12/pt y precios de restaurante con pago inicial (Kiosko $1,500+$59/mes, POS $3,800+$149, Restaurante $5,500+$249). Modelo de licencia, previo al de suscripción.</t>
  </si>
  <si>
    <t>Leyenda</t>
  </si>
  <si>
    <t>Texto azul</t>
  </si>
  <si>
    <t>Valor de entrada, editable.</t>
  </si>
  <si>
    <t>Texto negro</t>
  </si>
  <si>
    <t>Fórmula, no tocar.</t>
  </si>
  <si>
    <t>Texto verde</t>
  </si>
  <si>
    <t>Fórmula que lee otra hoja.</t>
  </si>
  <si>
    <t>Fondo amarillo</t>
  </si>
  <si>
    <t>Decisión pendiente de Kenny. Llena la columna 'Decisión'.</t>
  </si>
  <si>
    <t>Fondo rojo</t>
  </si>
  <si>
    <t>Conflicto entre fuentes: dos números distintos para lo mismo.</t>
  </si>
  <si>
    <t>Flujo propuesto: se decide aquí → se aplica en el panel (?r=catalog/edit) → el panel exporta JSON → el sitio lo consume. Este archivo NO alimenta nada automáticamente: es la mesa de decisión.</t>
  </si>
  <si>
    <t>Eje horizontal — Ediciones (precio de lista)</t>
  </si>
  <si>
    <t>Fuente: Catalog.php defaults() + JSON vivo 2026-08-02. $/año = $/mes × factor (Leeme!C6).</t>
  </si>
  <si>
    <t>key</t>
  </si>
  <si>
    <t>Edición</t>
  </si>
  <si>
    <t>$/año</t>
  </si>
  <si>
    <t>Sucursales</t>
  </si>
  <si>
    <t>Usuarios</t>
  </si>
  <si>
    <t>Registros</t>
  </si>
  <si>
    <t>Almacenamiento</t>
  </si>
  <si>
    <t>Transac./mes</t>
  </si>
  <si>
    <t>Salto clave</t>
  </si>
  <si>
    <t>Estado</t>
  </si>
  <si>
    <t>Decisión / nota</t>
  </si>
  <si>
    <t>lite</t>
  </si>
  <si>
    <t>Lite</t>
  </si>
  <si>
    <t>500</t>
  </si>
  <si>
    <t>2 GB</t>
  </si>
  <si>
    <t>100</t>
  </si>
  <si>
    <t>Lo básico con FE DGI incluida: clientes, catálogo, cotizaciones y facturación electrónica.</t>
  </si>
  <si>
    <t>confirmado</t>
  </si>
  <si>
    <t>Catalog.php + JSON</t>
  </si>
  <si>
    <t>core</t>
  </si>
  <si>
    <t>Core</t>
  </si>
  <si>
    <t>8</t>
  </si>
  <si>
    <t>5,000</t>
  </si>
  <si>
    <t>10 GB</t>
  </si>
  <si>
    <t>1,000</t>
  </si>
  <si>
    <t>Activa FE DGI (Digifact/HKA/Factura Fácil/eFacturapty), CxC multi-factura, reportes SQL y plantillas PDF.</t>
  </si>
  <si>
    <t>pro</t>
  </si>
  <si>
    <t>20</t>
  </si>
  <si>
    <t>50,000</t>
  </si>
  <si>
    <t>50 GB</t>
  </si>
  <si>
    <t>10,000</t>
  </si>
  <si>
    <t>Multi-sucursal real, automatizaciones, API REST (100K/mes), webhooks, WhatsApp Business, branding propio.</t>
  </si>
  <si>
    <t>enterprise</t>
  </si>
  <si>
    <t>Enterprise</t>
  </si>
  <si>
    <t>50</t>
  </si>
  <si>
    <t>Ilimitados</t>
  </si>
  <si>
    <t>200 GB</t>
  </si>
  <si>
    <t>Ilimitadas</t>
  </si>
  <si>
    <t>White-label completo (revender), reportes con IA, API ilimitada, SLA, account manager, integraciones custom.</t>
  </si>
  <si>
    <t>confirmado (sucursales: override)</t>
  </si>
  <si>
    <t>JSON vivo; Catalog.php dice 'Ilimitadas'</t>
  </si>
  <si>
    <t>CONFLICTO: código dice sucursales ilimitadas; panel en vivo cobra +$64 por adicional. ¿Cuál queda?</t>
  </si>
  <si>
    <t>Lite incluye FE DGI (CATALOGO.md y JSON coinciden). Nota: el estudio de junio y PRODUCTS.md describen 'Lite' con otros alcances — ver Conflictos #3.</t>
  </si>
  <si>
    <t>Eje vertical — Verticales en línea de edición</t>
  </si>
  <si>
    <t>Regla: el vertical toma el precio de la edición, sin recargo, salvo 'precio propio' que reemplaza SOLO la columna de su edición mínima. '—' = no se vende en esa edición. Delta = módulo adicional (uso futuro, no se suma).</t>
  </si>
  <si>
    <t>Vertical</t>
  </si>
  <si>
    <t>Sector</t>
  </si>
  <si>
    <t>Ed. mínima</t>
  </si>
  <si>
    <t>Precio propio $/mes</t>
  </si>
  <si>
    <t>Lite $/mes</t>
  </si>
  <si>
    <t>Core $/mes</t>
  </si>
  <si>
    <t>Pro $/mes</t>
  </si>
  <si>
    <t>Enterprise $/mes</t>
  </si>
  <si>
    <t>$/año en ed. mínima</t>
  </si>
  <si>
    <t>Delta módulo $/mes</t>
  </si>
  <si>
    <t>Caso real</t>
  </si>
  <si>
    <t>En Catalog.php (código)</t>
  </si>
  <si>
    <t>En JSON vivo (panel)</t>
  </si>
  <si>
    <t>Badge SVG</t>
  </si>
  <si>
    <t>Logo SVG</t>
  </si>
  <si>
    <t>taller</t>
  </si>
  <si>
    <t>HUB Taller</t>
  </si>
  <si>
    <t>Talleres mecánicos</t>
  </si>
  <si>
    <t>QS Express — La Chorrera</t>
  </si>
  <si>
    <t>sí</t>
  </si>
  <si>
    <t>Catalog.php</t>
  </si>
  <si>
    <t>carwash</t>
  </si>
  <si>
    <t>HUB Carwash</t>
  </si>
  <si>
    <t>Autolavados</t>
  </si>
  <si>
    <t>Lanzamiento $24 (PANEL-SUITEHUB.md) ya reconciliado a $48 el 2026-05-30.</t>
  </si>
  <si>
    <t>restaurant</t>
  </si>
  <si>
    <t>HUB Restaurant</t>
  </si>
  <si>
    <t>Restaurantes y bares</t>
  </si>
  <si>
    <t>sí (precio null)</t>
  </si>
  <si>
    <t>sí ($72 Core)</t>
  </si>
  <si>
    <t>Override en BD del panel</t>
  </si>
  <si>
    <t>CONFLICTO: código = $48 (línea Core); panel en vivo = $72. Si se pierde la BD vuelve a $48. ¿Confirmar $72 y llevarlo a código?</t>
  </si>
  <si>
    <t>pet</t>
  </si>
  <si>
    <t>HUB Pet</t>
  </si>
  <si>
    <t>Veterinarias y pet shops</t>
  </si>
  <si>
    <t>Precio propio $36 sobre línea Lite $24.</t>
  </si>
  <si>
    <t>beauty</t>
  </si>
  <si>
    <t>HUB Beauty</t>
  </si>
  <si>
    <t>Salones, spas, barberías</t>
  </si>
  <si>
    <t>sí (beauty)</t>
  </si>
  <si>
    <t>no (hay hub-salon-logo)</t>
  </si>
  <si>
    <t>Renombre Beauty→Salon a medias: catálogo dice Beauty, brand kit tiene logo Salon. ¿Nombre final?</t>
  </si>
  <si>
    <t>clinic</t>
  </si>
  <si>
    <t>HUB Clinic</t>
  </si>
  <si>
    <t>Consultorios y clínicas</t>
  </si>
  <si>
    <t>gym</t>
  </si>
  <si>
    <t>HUB Gym</t>
  </si>
  <si>
    <t>Gimnasios, crossfit, yoga</t>
  </si>
  <si>
    <t>lavanderia</t>
  </si>
  <si>
    <t>HUB Lavandería</t>
  </si>
  <si>
    <t>Lavanderías</t>
  </si>
  <si>
    <t>Clean Factory — Panamá</t>
  </si>
  <si>
    <t>inmobiliaria</t>
  </si>
  <si>
    <t>HUB Inmobiliaria</t>
  </si>
  <si>
    <t>Bienes raíces</t>
  </si>
  <si>
    <t>hotel</t>
  </si>
  <si>
    <t>HUB Hotel</t>
  </si>
  <si>
    <t>Hoteles boutique y hostales</t>
  </si>
  <si>
    <t>phone</t>
  </si>
  <si>
    <t>HUB Phone</t>
  </si>
  <si>
    <t>Reparación de celulares</t>
  </si>
  <si>
    <t>traffic</t>
  </si>
  <si>
    <t>HUB Traffic</t>
  </si>
  <si>
    <t>Analítica de afluencia retail</t>
  </si>
  <si>
    <t>Catalog.php (delta: propuesta)</t>
  </si>
  <si>
    <t>Suma setup de hardware (cotización). Delta +$30 propuesto sin confirmar.</t>
  </si>
  <si>
    <t>boutique</t>
  </si>
  <si>
    <t>HUB Boutique</t>
  </si>
  <si>
    <t>Boutiques de ropa, retail premium</t>
  </si>
  <si>
    <t>NO (solo override BD)</t>
  </si>
  <si>
    <t>sí ($48)</t>
  </si>
  <si>
    <t>no</t>
  </si>
  <si>
    <t>Override en BD + Products.php $48</t>
  </si>
  <si>
    <t>Producto insignia según plan 2026, pero sin badge, sin logo y fuera del código. ¿Grupo? ¿Se queda a $48?</t>
  </si>
  <si>
    <t>market</t>
  </si>
  <si>
    <t>HUB Market</t>
  </si>
  <si>
    <t>Minimarkets</t>
  </si>
  <si>
    <t>Sin grupo, sin badge ni logo en brand kit. ¿Grupo?</t>
  </si>
  <si>
    <t>pos</t>
  </si>
  <si>
    <t>HUB POS</t>
  </si>
  <si>
    <t>Caja / punto de venta</t>
  </si>
  <si>
    <t>NO (producto, no vertical)</t>
  </si>
  <si>
    <t>Products.php $48 · CATALOGO.md $36</t>
  </si>
  <si>
    <t>CONFLICTO: ver Especiales #1. ¿Es vertical o producto standalone?</t>
  </si>
  <si>
    <t>time</t>
  </si>
  <si>
    <t>HUB Time</t>
  </si>
  <si>
    <t>(por definir)</t>
  </si>
  <si>
    <t>Brand kit ago-2026</t>
  </si>
  <si>
    <t>Existe en brand kit (badge, logo, favicons, preview) pero no en catálogo. ¿Qué es, qué precio, qué edición mínima?</t>
  </si>
  <si>
    <t>salon</t>
  </si>
  <si>
    <t>HUB Salon</t>
  </si>
  <si>
    <t>Salones / barberías</t>
  </si>
  <si>
    <t>Brand kit + HUBSALON-DESIGN.md</t>
  </si>
  <si>
    <t>¿Reemplaza a Beauty o convive?</t>
  </si>
  <si>
    <t>web</t>
  </si>
  <si>
    <t>HUB Web</t>
  </si>
  <si>
    <t>Apps web a medida</t>
  </si>
  <si>
    <t>Estudio jun-2026 (proyecto + mantenimiento)</t>
  </si>
  <si>
    <t>Modelo distinto (proyecto + mantenimiento). ¿Va en Especiales o fuera del catálogo?</t>
  </si>
  <si>
    <t>Add-ons — se cobran aparte de la suscripción</t>
  </si>
  <si>
    <t>Add-on</t>
  </si>
  <si>
    <t>Pro</t>
  </si>
  <si>
    <t>Unidad</t>
  </si>
  <si>
    <t>Usuario adicional</t>
  </si>
  <si>
    <t>Catalog.php addons</t>
  </si>
  <si>
    <t>Dominio propio</t>
  </si>
  <si>
    <t>—</t>
  </si>
  <si>
    <t>Incluido</t>
  </si>
  <si>
    <t>propuesta</t>
  </si>
  <si>
    <t>Confirmar $5.</t>
  </si>
  <si>
    <t>Email saliente con tu dominio</t>
  </si>
  <si>
    <t>Sucursal adicional</t>
  </si>
  <si>
    <t>— (5 incl.)</t>
  </si>
  <si>
    <t>override en panel (Enterprise); pendiente Core/Pro</t>
  </si>
  <si>
    <t>JSON vivo Enterprise · estudio jun: $30</t>
  </si>
  <si>
    <t>CATALOGO.md lo deja pendiente ('hoy se sube de edición'). ¿Core/Pro pueden comprar sucursal suelta? ¿$64 aplica solo Enterprise?</t>
  </si>
  <si>
    <t>PAC facturación electrónica</t>
  </si>
  <si>
    <t>cliente</t>
  </si>
  <si>
    <t>Lo paga el cliente directo al PAC; SuiteHub integra sin cobro.</t>
  </si>
  <si>
    <t>Setup / implementación (one-time)</t>
  </si>
  <si>
    <t>$ una vez</t>
  </si>
  <si>
    <t>NO EXISTE en catálogo vigente</t>
  </si>
  <si>
    <t>Estudio jun-2026: $100–500 (prom. $200)</t>
  </si>
  <si>
    <t>Decisión importante: el modelo actual no cobra implementación. Es ingreso real y filtra curiosos. ¿Se agrega?</t>
  </si>
  <si>
    <t>Capacitación on-site</t>
  </si>
  <si>
    <t>no está</t>
  </si>
  <si>
    <t>Estudio jun-2026: $80</t>
  </si>
  <si>
    <t>¿Se ofrece?</t>
  </si>
  <si>
    <t>Gestión de certificado de firma electrónica</t>
  </si>
  <si>
    <t>$ una vez / 2 años</t>
  </si>
  <si>
    <t>Estudio jun-2026: $50</t>
  </si>
  <si>
    <t>Terminal / estación KDS adicional</t>
  </si>
  <si>
    <t>Estudio jun-2026: $18</t>
  </si>
  <si>
    <t>Relevante para Restaurant/POS. ¿Se cobra por terminal?</t>
  </si>
  <si>
    <t>HUB POS como módulo de caja sobre otro vertical</t>
  </si>
  <si>
    <t>CATALOGO.md Parte 4</t>
  </si>
  <si>
    <t>Propuesta +$15/mes. Confirmar.</t>
  </si>
  <si>
    <t>Casos especiales y modelos fuera de la matriz</t>
  </si>
  <si>
    <t>En el panel la lista 'especiales' está VACÍA. Aquí va todo lo que no encaja en Vertical × Edición.</t>
  </si>
  <si>
    <t>Ítem</t>
  </si>
  <si>
    <t>Modelo</t>
  </si>
  <si>
    <t>$/setup</t>
  </si>
  <si>
    <t>HUB POS standalone (caja sola)</t>
  </si>
  <si>
    <t>fijo</t>
  </si>
  <si>
    <t>CONFLICTO</t>
  </si>
  <si>
    <t>CATALOGO.md: $36/mes ($360/año) 'confirmado' · Products.php: $48/$480</t>
  </si>
  <si>
    <t>Dos precios vivos para lo mismo. La landing pública usa Products.php ($48). ¿$36 o $48?</t>
  </si>
  <si>
    <t>HUB Traffic — setup de hardware</t>
  </si>
  <si>
    <t>cotizacion</t>
  </si>
  <si>
    <t>Cotización por # sensores/cámaras y local. Delta +$30/mes propuesto (grupo pesado = $36 en deltas).</t>
  </si>
  <si>
    <t>HUB Web — app a medida</t>
  </si>
  <si>
    <t>desde</t>
  </si>
  <si>
    <t>fuera de catálogo</t>
  </si>
  <si>
    <t>Estudio jun-2026: Básico $29+$800 · Pro $79+$2,500 · Premium $149+$5,000</t>
  </si>
  <si>
    <t>¿Se mantiene como línea de servicio de PROOQ (no SuiteHub)?</t>
  </si>
  <si>
    <t>White-label / reventa</t>
  </si>
  <si>
    <t>incluido en Enterprise</t>
  </si>
  <si>
    <t>Catalog.php Enterprise</t>
  </si>
  <si>
    <t>¿Margen para distribuidores? Memoria dice canal mixto directo + distribuidores.</t>
  </si>
  <si>
    <t>Integraciones custom / API dedicada</t>
  </si>
  <si>
    <t>vacío en panel</t>
  </si>
  <si>
    <t>CLAUDE.md panel</t>
  </si>
  <si>
    <t>Restaurantes — modelo mayo 2026 (licencia + mensualidad)</t>
  </si>
  <si>
    <t>MODELO ANTERIOR</t>
  </si>
  <si>
    <t>Memoria: Kiosko $1,500+$59 · POS $3,800+$149 · Restaurante $5,500+$249 · sucursal +$1,500/$99 · pedidos web +$1,200/$39</t>
  </si>
  <si>
    <t>¿Se retira definitivamente? Si algún cliente lo compró así, documentar como legado.</t>
  </si>
  <si>
    <t>Modelo de puntos ($12/pt)</t>
  </si>
  <si>
    <t>Memoria mayo 2026</t>
  </si>
  <si>
    <t>¿Retirar? Hoy nada en el panel usa puntos.</t>
  </si>
  <si>
    <t>Conflictos y huecos detectados — decidir uno por uno</t>
  </si>
  <si>
    <t>Tema</t>
  </si>
  <si>
    <t>Fuente A dice</t>
  </si>
  <si>
    <t>Fuente B dice</t>
  </si>
  <si>
    <t>Impacto</t>
  </si>
  <si>
    <t>Decisión (Kenny)</t>
  </si>
  <si>
    <t>HUB Restaurant Core</t>
  </si>
  <si>
    <t>Catalog.php (código): $48 (línea Core)</t>
  </si>
  <si>
    <t>Panel en vivo / JSON: $72</t>
  </si>
  <si>
    <t>Landing, correo y sitio muestran $72; si se reinstala o revierte la BD cae a $48.</t>
  </si>
  <si>
    <t>HUB POS standalone</t>
  </si>
  <si>
    <t>CATALOGO.md: $36/mes 'confirmado'</t>
  </si>
  <si>
    <t>Products.php + landing: $48/mes</t>
  </si>
  <si>
    <t>Precio público inconsistente entre docs y landing.</t>
  </si>
  <si>
    <t>Qué significa 'Lite'</t>
  </si>
  <si>
    <t>Catálogo: edición de entrada $24 con FE DGI</t>
  </si>
  <si>
    <t>PRODUCTS.md/estudio: 'HubLite' producto micro sin FE / $19</t>
  </si>
  <si>
    <t>El plan 2026 lo marca: 'Lite significa tres cosas'. Confunde ventas.</t>
  </si>
  <si>
    <t>Sucursales Enterprise</t>
  </si>
  <si>
    <t>Catalog.php: ilimitadas</t>
  </si>
  <si>
    <t>JSON vivo: 1 principal + $64/mes adicional</t>
  </si>
  <si>
    <t>Cambia la promesa Enterprise.</t>
  </si>
  <si>
    <t>Boutique y Market</t>
  </si>
  <si>
    <t>No existen en Catalog.php defaults()</t>
  </si>
  <si>
    <t>Existen en JSON vivo (override BD) y Products.php</t>
  </si>
  <si>
    <t>Viven solo en la BD del servidor. Riesgo de pérdida; no están en tests.</t>
  </si>
  <si>
    <t>Beauty vs Salon</t>
  </si>
  <si>
    <t>Catálogo: HUB Beauty</t>
  </si>
  <si>
    <t>Brand kit: hub-salon-logo, HUBSALON-DESIGN.md</t>
  </si>
  <si>
    <t>Dos nombres para el mismo vertical.</t>
  </si>
  <si>
    <t>Setup / implementación</t>
  </si>
  <si>
    <t>Catálogo vigente: no se cobra</t>
  </si>
  <si>
    <t>Estudio jun-2026: $100–500 one-time (prom. $200), ~40% del ingreso año 1 en su proyección</t>
  </si>
  <si>
    <t>Renunciar a setup baja el ticket inicial y sube churn temprano (según el mismo estudio).</t>
  </si>
  <si>
    <t>Descuento anual</t>
  </si>
  <si>
    <t>Catálogo: ×10 (≈16.7%)</t>
  </si>
  <si>
    <t>Estudio jun-2026: ×12×0.9 (10%)</t>
  </si>
  <si>
    <t>Ya resuelto a ×10 en panel; el estudio quedó viejo.</t>
  </si>
  <si>
    <t>Confirmado ×10 (asumido)</t>
  </si>
  <si>
    <t>Entidad en materiales</t>
  </si>
  <si>
    <t>JSON meta y sitio: 'PROOQ LLC (USA) · operado en Panamá por PROOQ S.A.'</t>
  </si>
  <si>
    <t>Decisión sep-2026: S.A. = Panamá, LLC = EE.UU. (pares por territorio)</t>
  </si>
  <si>
    <t>Cambia footer, privacidad, términos, meta del catálogo y PRODUCTS.md/README de marca.</t>
  </si>
  <si>
    <t>Brand kit ago-2026: badge, logo, favicons, preview</t>
  </si>
  <si>
    <t>No existe en catálogo, JSON ni Products.php</t>
  </si>
  <si>
    <t>Producto sin definición comercial.</t>
  </si>
  <si>
    <t>Deltas de módulo</t>
  </si>
  <si>
    <t>Catalog.php: $12/$24/$36 por grupo</t>
  </si>
  <si>
    <t>No existe catálogo de módulos que los use</t>
  </si>
  <si>
    <t>Número sin producto detrás. ¿Se retira hasta tener módulos?</t>
  </si>
  <si>
    <t>Modelos anteriores (puntos, licencia restaurantes)</t>
  </si>
  <si>
    <t>Memoria mayo-2026</t>
  </si>
  <si>
    <t>Nada en panel los usa</t>
  </si>
  <si>
    <t>Ruido en materiales viejos (brochures, pitches).</t>
  </si>
  <si>
    <t>Historial de modelos de precio (para no volver a mezclarlos)</t>
  </si>
  <si>
    <t>Cuándo</t>
  </si>
  <si>
    <t>Descripción</t>
  </si>
  <si>
    <t>may-2026</t>
  </si>
  <si>
    <t>Puntos + licencia</t>
  </si>
  <si>
    <t>Precios en puntos ($12/pt), público en balboas. Restaurantes con pago inicial + mensualidad (Kiosko/POS/Restaurante). Canal directo + distribuidores.</t>
  </si>
  <si>
    <t>Anterior — retirar salvo clientes legado</t>
  </si>
  <si>
    <t>jun-2026 (estudio)</t>
  </si>
  <si>
    <t>3 planes por producto + setup</t>
  </si>
  <si>
    <t>HubPOS $29/59/99, HubRestaurant $49/89/149, HubBoutique $39/79/129, HubCore $19/45/89, HubWeb $29/79/149 + proyecto. Setup $100–500. Anual −10%.</t>
  </si>
  <si>
    <t>Anterior — sirve como referencia de mercado</t>
  </si>
  <si>
    <t>2026-06-25</t>
  </si>
  <si>
    <t>Ediciones × Verticales (vigente)</t>
  </si>
  <si>
    <t>Lite $24 / Core $48 / Pro $96 / Enterprise $192. Verticales en línea de edición sin recargo, salvo precio propio. Anual ×10. Add-ons aparte. PAC lo paga el cliente.</t>
  </si>
  <si>
    <t>VIGENTE — fuente: panel</t>
  </si>
  <si>
    <t>2026-08-02</t>
  </si>
  <si>
    <t>Overrides en panel</t>
  </si>
  <si>
    <t>Restaurant Core $72, Enterprise sucursal +$64, Boutique y Market agregados.</t>
  </si>
  <si>
    <t>Vigente en vivo, no en código</t>
  </si>
  <si>
    <t>Core ⭐</t>
  </si>
  <si>
    <t>eliminado por ahora</t>
  </si>
  <si>
    <t>Nada</t>
  </si>
  <si>
    <t>Sin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</si>
</sst>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;&quot;($&quot;#,##0\);\-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A2540"/>
        <bgColor rgb="FF003300"/>
      </patternFill>
    </fill>
    <fill>
      <patternFill patternType="solid">
        <fgColor rgb="FFFDE2E2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5" fontId="7" fillId="0" borderId="1" xfId="0" applyNumberFormat="1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1" xfId="0" applyFont="1" applyBorder="1"/>
    <xf numFmtId="165" fontId="5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2E2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A254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opLeftCell="A19" zoomScaleNormal="100" workbookViewId="0"/>
  </sheetViews>
  <sheetFormatPr defaultColWidth="8.6640625" defaultRowHeight="14.4" x14ac:dyDescent="0.3"/>
  <cols>
    <col min="1" max="1" width="34" customWidth="1"/>
    <col min="2" max="2" width="16.77734375" customWidth="1"/>
    <col min="3" max="3" width="110" customWidth="1"/>
  </cols>
  <sheetData>
    <row r="1" spans="1:3" ht="17.399999999999999" x14ac:dyDescent="0.3">
      <c r="A1" s="1" t="s">
        <v>0</v>
      </c>
    </row>
    <row r="2" spans="1:3" x14ac:dyDescent="0.3">
      <c r="A2" s="2" t="s">
        <v>1</v>
      </c>
    </row>
    <row r="3" spans="1:3" x14ac:dyDescent="0.3">
      <c r="A3" s="3" t="s">
        <v>2</v>
      </c>
    </row>
    <row r="5" spans="1:3" x14ac:dyDescent="0.3">
      <c r="A5" s="4" t="s">
        <v>3</v>
      </c>
    </row>
    <row r="6" spans="1:3" ht="26.4" x14ac:dyDescent="0.3">
      <c r="A6" s="5" t="s">
        <v>4</v>
      </c>
      <c r="C6" s="6">
        <v>10</v>
      </c>
    </row>
    <row r="7" spans="1:3" x14ac:dyDescent="0.3">
      <c r="A7" s="5" t="s">
        <v>5</v>
      </c>
      <c r="C7" s="7">
        <f>1-C6/12</f>
        <v>0.16666666666666663</v>
      </c>
    </row>
    <row r="8" spans="1:3" x14ac:dyDescent="0.3">
      <c r="A8" s="5" t="s">
        <v>6</v>
      </c>
      <c r="C8" s="8" t="s">
        <v>7</v>
      </c>
    </row>
    <row r="9" spans="1:3" x14ac:dyDescent="0.3">
      <c r="A9" s="5" t="s">
        <v>8</v>
      </c>
      <c r="C9" s="8" t="s">
        <v>9</v>
      </c>
    </row>
    <row r="10" spans="1:3" x14ac:dyDescent="0.3">
      <c r="A10" s="5" t="s">
        <v>10</v>
      </c>
      <c r="C10" s="8" t="s">
        <v>11</v>
      </c>
    </row>
    <row r="12" spans="1:3" x14ac:dyDescent="0.3">
      <c r="A12" s="4" t="s">
        <v>12</v>
      </c>
    </row>
    <row r="13" spans="1:3" ht="30" customHeight="1" x14ac:dyDescent="0.3">
      <c r="A13" s="9" t="s">
        <v>13</v>
      </c>
      <c r="B13" s="9"/>
      <c r="C13" s="9" t="s">
        <v>14</v>
      </c>
    </row>
    <row r="14" spans="1:3" x14ac:dyDescent="0.3">
      <c r="A14" s="10" t="s">
        <v>15</v>
      </c>
      <c r="C14" s="11">
        <v>12</v>
      </c>
    </row>
    <row r="15" spans="1:3" x14ac:dyDescent="0.3">
      <c r="A15" s="10" t="s">
        <v>16</v>
      </c>
      <c r="C15" s="11">
        <v>24</v>
      </c>
    </row>
    <row r="16" spans="1:3" x14ac:dyDescent="0.3">
      <c r="A16" s="10" t="s">
        <v>17</v>
      </c>
      <c r="C16" s="11">
        <v>36</v>
      </c>
    </row>
    <row r="18" spans="1:3" x14ac:dyDescent="0.3">
      <c r="A18" s="4" t="s">
        <v>18</v>
      </c>
    </row>
    <row r="19" spans="1:3" ht="30" customHeight="1" x14ac:dyDescent="0.3">
      <c r="A19" s="9" t="s">
        <v>19</v>
      </c>
      <c r="B19" s="9" t="s">
        <v>20</v>
      </c>
      <c r="C19" s="9" t="s">
        <v>21</v>
      </c>
    </row>
    <row r="20" spans="1:3" ht="26.4" x14ac:dyDescent="0.3">
      <c r="A20" s="10" t="s">
        <v>22</v>
      </c>
      <c r="B20" s="5" t="s">
        <v>23</v>
      </c>
      <c r="C20" s="10" t="s">
        <v>24</v>
      </c>
    </row>
    <row r="21" spans="1:3" x14ac:dyDescent="0.3">
      <c r="A21" s="10" t="s">
        <v>25</v>
      </c>
      <c r="B21" s="5" t="s">
        <v>26</v>
      </c>
      <c r="C21" s="10" t="s">
        <v>27</v>
      </c>
    </row>
    <row r="22" spans="1:3" x14ac:dyDescent="0.3">
      <c r="A22" s="10" t="s">
        <v>28</v>
      </c>
      <c r="B22" s="5" t="s">
        <v>29</v>
      </c>
      <c r="C22" s="10" t="s">
        <v>30</v>
      </c>
    </row>
    <row r="23" spans="1:3" x14ac:dyDescent="0.3">
      <c r="A23" s="10" t="s">
        <v>31</v>
      </c>
      <c r="B23" s="5" t="s">
        <v>32</v>
      </c>
      <c r="C23" s="10" t="s">
        <v>33</v>
      </c>
    </row>
    <row r="24" spans="1:3" ht="26.4" x14ac:dyDescent="0.3">
      <c r="A24" s="10" t="s">
        <v>34</v>
      </c>
      <c r="B24" s="5" t="s">
        <v>35</v>
      </c>
      <c r="C24" s="10" t="s">
        <v>36</v>
      </c>
    </row>
    <row r="25" spans="1:3" ht="26.4" x14ac:dyDescent="0.3">
      <c r="A25" s="10" t="s">
        <v>37</v>
      </c>
      <c r="B25" s="5" t="s">
        <v>38</v>
      </c>
      <c r="C25" s="10" t="s">
        <v>39</v>
      </c>
    </row>
    <row r="26" spans="1:3" ht="26.4" x14ac:dyDescent="0.3">
      <c r="A26" s="10" t="s">
        <v>40</v>
      </c>
      <c r="B26" s="5" t="s">
        <v>41</v>
      </c>
      <c r="C26" s="10" t="s">
        <v>42</v>
      </c>
    </row>
    <row r="28" spans="1:3" x14ac:dyDescent="0.3">
      <c r="A28" s="4" t="s">
        <v>43</v>
      </c>
    </row>
    <row r="29" spans="1:3" x14ac:dyDescent="0.3">
      <c r="A29" s="8" t="s">
        <v>44</v>
      </c>
      <c r="C29" s="10" t="s">
        <v>45</v>
      </c>
    </row>
    <row r="30" spans="1:3" x14ac:dyDescent="0.3">
      <c r="A30" s="10" t="s">
        <v>46</v>
      </c>
      <c r="C30" s="10" t="s">
        <v>47</v>
      </c>
    </row>
    <row r="31" spans="1:3" x14ac:dyDescent="0.3">
      <c r="A31" s="12" t="s">
        <v>48</v>
      </c>
      <c r="C31" s="10" t="s">
        <v>49</v>
      </c>
    </row>
    <row r="32" spans="1:3" x14ac:dyDescent="0.3">
      <c r="A32" s="13" t="s">
        <v>50</v>
      </c>
      <c r="C32" s="10" t="s">
        <v>51</v>
      </c>
    </row>
    <row r="33" spans="1:3" x14ac:dyDescent="0.3">
      <c r="A33" s="14" t="s">
        <v>52</v>
      </c>
      <c r="C33" s="10" t="s">
        <v>53</v>
      </c>
    </row>
    <row r="35" spans="1:3" x14ac:dyDescent="0.3">
      <c r="A35" s="3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9" sqref="F19"/>
    </sheetView>
  </sheetViews>
  <sheetFormatPr defaultColWidth="8.6640625" defaultRowHeight="14.4" x14ac:dyDescent="0.3"/>
  <cols>
    <col min="1" max="1" width="11" customWidth="1"/>
    <col min="2" max="2" width="12" customWidth="1"/>
    <col min="3" max="4" width="9" customWidth="1"/>
    <col min="5" max="5" width="22" customWidth="1"/>
    <col min="6" max="6" width="9" customWidth="1"/>
    <col min="7" max="7" width="11" customWidth="1"/>
    <col min="8" max="8" width="14" customWidth="1"/>
    <col min="9" max="9" width="12" customWidth="1"/>
    <col min="10" max="10" width="52" customWidth="1"/>
    <col min="11" max="11" width="20" customWidth="1"/>
    <col min="12" max="12" width="26" customWidth="1"/>
    <col min="13" max="13" width="48" customWidth="1"/>
  </cols>
  <sheetData>
    <row r="1" spans="1:13" ht="17.399999999999999" x14ac:dyDescent="0.3">
      <c r="A1" s="1" t="s">
        <v>55</v>
      </c>
    </row>
    <row r="2" spans="1:13" x14ac:dyDescent="0.3">
      <c r="A2" s="3" t="s">
        <v>56</v>
      </c>
    </row>
    <row r="4" spans="1:13" ht="30" customHeight="1" x14ac:dyDescent="0.3">
      <c r="A4" s="9" t="s">
        <v>57</v>
      </c>
      <c r="B4" s="9" t="s">
        <v>58</v>
      </c>
      <c r="C4" s="9" t="s">
        <v>14</v>
      </c>
      <c r="D4" s="9" t="s">
        <v>59</v>
      </c>
      <c r="E4" s="9" t="s">
        <v>60</v>
      </c>
      <c r="F4" s="9" t="s">
        <v>61</v>
      </c>
      <c r="G4" s="9" t="s">
        <v>62</v>
      </c>
      <c r="H4" s="9" t="s">
        <v>63</v>
      </c>
      <c r="I4" s="9" t="s">
        <v>64</v>
      </c>
      <c r="J4" s="9" t="s">
        <v>65</v>
      </c>
      <c r="K4" s="9" t="s">
        <v>66</v>
      </c>
      <c r="L4" s="9" t="s">
        <v>20</v>
      </c>
      <c r="M4" s="9" t="s">
        <v>67</v>
      </c>
    </row>
    <row r="5" spans="1:13" ht="26.4" x14ac:dyDescent="0.3">
      <c r="A5" s="10" t="s">
        <v>68</v>
      </c>
      <c r="B5" s="5" t="s">
        <v>69</v>
      </c>
      <c r="C5" s="11">
        <v>24</v>
      </c>
      <c r="D5" s="15">
        <f>C5*Leeme!$C$6</f>
        <v>240</v>
      </c>
      <c r="E5" s="8" t="s">
        <v>22</v>
      </c>
      <c r="F5" s="8" t="s">
        <v>28</v>
      </c>
      <c r="G5" s="8" t="s">
        <v>70</v>
      </c>
      <c r="H5" s="8" t="s">
        <v>71</v>
      </c>
      <c r="I5" s="8" t="s">
        <v>72</v>
      </c>
      <c r="J5" s="10" t="s">
        <v>73</v>
      </c>
      <c r="K5" s="10" t="s">
        <v>74</v>
      </c>
      <c r="L5" s="10" t="s">
        <v>75</v>
      </c>
      <c r="M5" s="10"/>
    </row>
    <row r="6" spans="1:13" ht="26.4" x14ac:dyDescent="0.3">
      <c r="A6" s="10" t="s">
        <v>76</v>
      </c>
      <c r="B6" s="5" t="s">
        <v>344</v>
      </c>
      <c r="C6" s="11">
        <v>48</v>
      </c>
      <c r="D6" s="15">
        <f>C6*Leeme!$C$6</f>
        <v>480</v>
      </c>
      <c r="E6" s="8">
        <v>1</v>
      </c>
      <c r="F6" s="8" t="s">
        <v>78</v>
      </c>
      <c r="G6" s="8" t="s">
        <v>79</v>
      </c>
      <c r="H6" s="8" t="s">
        <v>80</v>
      </c>
      <c r="I6" s="8" t="s">
        <v>81</v>
      </c>
      <c r="J6" s="10" t="s">
        <v>82</v>
      </c>
      <c r="K6" s="10" t="s">
        <v>74</v>
      </c>
      <c r="L6" s="10" t="s">
        <v>75</v>
      </c>
      <c r="M6" s="10"/>
    </row>
    <row r="7" spans="1:13" ht="26.4" x14ac:dyDescent="0.3">
      <c r="A7" s="10" t="s">
        <v>83</v>
      </c>
      <c r="B7" s="5" t="s">
        <v>203</v>
      </c>
      <c r="C7" s="11">
        <v>96</v>
      </c>
      <c r="D7" s="15">
        <f>C7*Leeme!$C$6</f>
        <v>960</v>
      </c>
      <c r="E7" s="8">
        <v>2</v>
      </c>
      <c r="F7" s="8" t="s">
        <v>84</v>
      </c>
      <c r="G7" s="8" t="s">
        <v>85</v>
      </c>
      <c r="H7" s="8" t="s">
        <v>86</v>
      </c>
      <c r="I7" s="8" t="s">
        <v>87</v>
      </c>
      <c r="J7" s="10" t="s">
        <v>88</v>
      </c>
      <c r="K7" s="10" t="s">
        <v>74</v>
      </c>
      <c r="L7" s="10" t="s">
        <v>75</v>
      </c>
      <c r="M7" s="10"/>
    </row>
    <row r="8" spans="1:13" ht="26.4" x14ac:dyDescent="0.3">
      <c r="A8" s="10" t="s">
        <v>89</v>
      </c>
      <c r="B8" s="5" t="s">
        <v>90</v>
      </c>
      <c r="C8" s="11">
        <v>192</v>
      </c>
      <c r="D8" s="15">
        <f>C8*Leeme!$C$6</f>
        <v>1920</v>
      </c>
      <c r="E8" s="16">
        <v>3</v>
      </c>
      <c r="F8" s="8" t="s">
        <v>91</v>
      </c>
      <c r="G8" s="8" t="s">
        <v>92</v>
      </c>
      <c r="H8" s="8" t="s">
        <v>93</v>
      </c>
      <c r="I8" s="8" t="s">
        <v>94</v>
      </c>
      <c r="J8" s="10" t="s">
        <v>95</v>
      </c>
      <c r="K8" s="10" t="s">
        <v>96</v>
      </c>
      <c r="L8" s="10" t="s">
        <v>97</v>
      </c>
      <c r="M8" s="13" t="s">
        <v>98</v>
      </c>
    </row>
    <row r="10" spans="1:13" x14ac:dyDescent="0.3">
      <c r="A10" s="17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2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7" sqref="M7"/>
    </sheetView>
  </sheetViews>
  <sheetFormatPr defaultColWidth="8.6640625" defaultRowHeight="14.4" x14ac:dyDescent="0.3"/>
  <cols>
    <col min="1" max="1" width="12" customWidth="1"/>
    <col min="2" max="2" width="16" customWidth="1"/>
    <col min="3" max="3" width="24" customWidth="1"/>
    <col min="4" max="4" width="9" customWidth="1"/>
    <col min="5" max="5" width="10" customWidth="1"/>
    <col min="6" max="6" width="11" customWidth="1"/>
    <col min="7" max="9" width="10" customWidth="1"/>
    <col min="10" max="11" width="12" customWidth="1"/>
    <col min="12" max="12" width="11" customWidth="1"/>
    <col min="13" max="13" width="22" customWidth="1"/>
    <col min="14" max="14" width="20" customWidth="1"/>
    <col min="15" max="15" width="16" customWidth="1"/>
    <col min="16" max="16" width="9" customWidth="1"/>
    <col min="17" max="17" width="16.6640625" customWidth="1"/>
    <col min="18" max="18" width="28" customWidth="1"/>
    <col min="19" max="19" width="60" customWidth="1"/>
  </cols>
  <sheetData>
    <row r="1" spans="1:19" ht="17.399999999999999" x14ac:dyDescent="0.3">
      <c r="A1" s="1" t="s">
        <v>100</v>
      </c>
    </row>
    <row r="2" spans="1:19" x14ac:dyDescent="0.3">
      <c r="A2" s="3" t="s">
        <v>101</v>
      </c>
    </row>
    <row r="4" spans="1:19" ht="39.6" x14ac:dyDescent="0.3">
      <c r="A4" s="9" t="s">
        <v>57</v>
      </c>
      <c r="B4" s="9" t="s">
        <v>102</v>
      </c>
      <c r="C4" s="9" t="s">
        <v>103</v>
      </c>
      <c r="D4" s="9" t="s">
        <v>13</v>
      </c>
      <c r="E4" s="9" t="s">
        <v>104</v>
      </c>
      <c r="F4" s="9" t="s">
        <v>105</v>
      </c>
      <c r="G4" s="9" t="s">
        <v>106</v>
      </c>
      <c r="H4" s="9" t="s">
        <v>107</v>
      </c>
      <c r="I4" s="9" t="s">
        <v>108</v>
      </c>
      <c r="J4" s="9" t="s">
        <v>109</v>
      </c>
      <c r="K4" s="9" t="s">
        <v>110</v>
      </c>
      <c r="L4" s="9" t="s">
        <v>111</v>
      </c>
      <c r="M4" s="9" t="s">
        <v>112</v>
      </c>
      <c r="N4" s="9" t="s">
        <v>113</v>
      </c>
      <c r="O4" s="9" t="s">
        <v>114</v>
      </c>
      <c r="P4" s="9" t="s">
        <v>115</v>
      </c>
      <c r="Q4" s="9" t="s">
        <v>116</v>
      </c>
      <c r="R4" s="9" t="s">
        <v>20</v>
      </c>
      <c r="S4" s="9" t="s">
        <v>67</v>
      </c>
    </row>
    <row r="5" spans="1:19" ht="26.4" x14ac:dyDescent="0.3">
      <c r="A5" s="10" t="s">
        <v>117</v>
      </c>
      <c r="B5" s="5" t="s">
        <v>118</v>
      </c>
      <c r="C5" s="8" t="s">
        <v>119</v>
      </c>
      <c r="D5" s="8" t="s">
        <v>16</v>
      </c>
      <c r="E5" s="8" t="s">
        <v>69</v>
      </c>
      <c r="F5" s="11">
        <v>48</v>
      </c>
      <c r="G5" s="11">
        <v>48</v>
      </c>
      <c r="H5" s="15">
        <v>64</v>
      </c>
      <c r="I5" s="15" t="s">
        <v>345</v>
      </c>
      <c r="J5" s="15" t="s">
        <v>346</v>
      </c>
      <c r="K5" s="15">
        <f>IFERROR(INDEX(G5:J5,MATCH($E5,Ediciones!$A$5:$A$8,0))*Leeme!$C$6,"")</f>
        <v>480</v>
      </c>
      <c r="L5" s="15" t="s">
        <v>347</v>
      </c>
      <c r="M5" s="10" t="s">
        <v>120</v>
      </c>
      <c r="N5" s="10" t="s">
        <v>121</v>
      </c>
      <c r="O5" s="10" t="s">
        <v>121</v>
      </c>
      <c r="P5" s="10" t="s">
        <v>121</v>
      </c>
      <c r="Q5" s="10" t="s">
        <v>121</v>
      </c>
      <c r="R5" s="10" t="s">
        <v>122</v>
      </c>
      <c r="S5" s="10"/>
    </row>
    <row r="6" spans="1:19" ht="26.4" x14ac:dyDescent="0.3">
      <c r="A6" s="10" t="s">
        <v>123</v>
      </c>
      <c r="B6" s="5" t="s">
        <v>124</v>
      </c>
      <c r="C6" s="8" t="s">
        <v>125</v>
      </c>
      <c r="D6" s="8" t="s">
        <v>16</v>
      </c>
      <c r="E6" s="8" t="s">
        <v>69</v>
      </c>
      <c r="F6" s="11">
        <v>48</v>
      </c>
      <c r="G6" s="11">
        <v>48</v>
      </c>
      <c r="H6" s="15">
        <v>64</v>
      </c>
      <c r="I6" s="15" t="s">
        <v>345</v>
      </c>
      <c r="J6" s="15" t="s">
        <v>346</v>
      </c>
      <c r="K6" s="15">
        <f>IFERROR(INDEX(G6:J6,MATCH($E6,Ediciones!$A$5:$A$8,0))*Leeme!$C$6,"")</f>
        <v>480</v>
      </c>
      <c r="L6" s="15" t="s">
        <v>347</v>
      </c>
      <c r="M6" s="10"/>
      <c r="N6" s="10" t="s">
        <v>121</v>
      </c>
      <c r="O6" s="10" t="s">
        <v>121</v>
      </c>
      <c r="P6" s="10" t="s">
        <v>121</v>
      </c>
      <c r="Q6" s="10" t="s">
        <v>121</v>
      </c>
      <c r="R6" s="10" t="s">
        <v>122</v>
      </c>
      <c r="S6" s="13" t="s">
        <v>126</v>
      </c>
    </row>
    <row r="7" spans="1:19" ht="26.4" x14ac:dyDescent="0.3">
      <c r="A7" s="10" t="s">
        <v>127</v>
      </c>
      <c r="B7" s="5" t="s">
        <v>128</v>
      </c>
      <c r="C7" s="8" t="s">
        <v>129</v>
      </c>
      <c r="D7" s="8" t="s">
        <v>17</v>
      </c>
      <c r="E7" s="8" t="s">
        <v>69</v>
      </c>
      <c r="F7" s="11">
        <v>48</v>
      </c>
      <c r="G7" s="11">
        <v>48</v>
      </c>
      <c r="H7" s="15">
        <v>64</v>
      </c>
      <c r="I7" s="15" t="s">
        <v>345</v>
      </c>
      <c r="J7" s="15" t="s">
        <v>346</v>
      </c>
      <c r="K7" s="15">
        <f>IFERROR(INDEX(G7:J7,MATCH($E7,Ediciones!$A$5:$A$8,0))*Leeme!$C$6,"")</f>
        <v>480</v>
      </c>
      <c r="L7" s="15" t="s">
        <v>347</v>
      </c>
      <c r="M7" s="10"/>
      <c r="N7" s="10" t="s">
        <v>130</v>
      </c>
      <c r="O7" s="10" t="s">
        <v>131</v>
      </c>
      <c r="P7" s="10" t="s">
        <v>121</v>
      </c>
      <c r="Q7" s="10" t="s">
        <v>121</v>
      </c>
      <c r="R7" s="10" t="s">
        <v>132</v>
      </c>
      <c r="S7" s="13" t="s">
        <v>133</v>
      </c>
    </row>
    <row r="8" spans="1:19" ht="26.4" x14ac:dyDescent="0.3">
      <c r="A8" s="10" t="s">
        <v>134</v>
      </c>
      <c r="B8" s="5" t="s">
        <v>135</v>
      </c>
      <c r="C8" s="8" t="s">
        <v>136</v>
      </c>
      <c r="D8" s="8" t="s">
        <v>16</v>
      </c>
      <c r="E8" s="8" t="s">
        <v>69</v>
      </c>
      <c r="F8" s="11">
        <v>48</v>
      </c>
      <c r="G8" s="11">
        <v>48</v>
      </c>
      <c r="H8" s="15">
        <v>64</v>
      </c>
      <c r="I8" s="15" t="s">
        <v>345</v>
      </c>
      <c r="J8" s="15" t="s">
        <v>346</v>
      </c>
      <c r="K8" s="15">
        <f>IFERROR(INDEX(G8:J8,MATCH($E8,Ediciones!$A$5:$A$8,0))*Leeme!$C$6,"")</f>
        <v>480</v>
      </c>
      <c r="L8" s="15" t="s">
        <v>347</v>
      </c>
      <c r="M8" s="10"/>
      <c r="N8" s="10" t="s">
        <v>121</v>
      </c>
      <c r="O8" s="10" t="s">
        <v>121</v>
      </c>
      <c r="P8" s="10" t="s">
        <v>121</v>
      </c>
      <c r="Q8" s="10" t="s">
        <v>121</v>
      </c>
      <c r="R8" s="10" t="s">
        <v>122</v>
      </c>
      <c r="S8" s="13" t="s">
        <v>137</v>
      </c>
    </row>
    <row r="9" spans="1:19" ht="26.4" x14ac:dyDescent="0.3">
      <c r="A9" s="10" t="s">
        <v>138</v>
      </c>
      <c r="B9" s="5" t="s">
        <v>139</v>
      </c>
      <c r="C9" s="8" t="s">
        <v>140</v>
      </c>
      <c r="D9" s="8" t="s">
        <v>15</v>
      </c>
      <c r="E9" s="8" t="s">
        <v>69</v>
      </c>
      <c r="F9" s="11">
        <v>48</v>
      </c>
      <c r="G9" s="11">
        <v>48</v>
      </c>
      <c r="H9" s="15">
        <v>64</v>
      </c>
      <c r="I9" s="15" t="s">
        <v>345</v>
      </c>
      <c r="J9" s="15" t="s">
        <v>346</v>
      </c>
      <c r="K9" s="15">
        <f>IFERROR(INDEX(G9:J9,MATCH($E9,Ediciones!$A$5:$A$8,0))*Leeme!$C$6,"")</f>
        <v>480</v>
      </c>
      <c r="L9" s="15" t="s">
        <v>347</v>
      </c>
      <c r="M9" s="10"/>
      <c r="N9" s="10" t="s">
        <v>121</v>
      </c>
      <c r="O9" s="10" t="s">
        <v>121</v>
      </c>
      <c r="P9" s="10" t="s">
        <v>141</v>
      </c>
      <c r="Q9" s="10" t="s">
        <v>142</v>
      </c>
      <c r="R9" s="10" t="s">
        <v>122</v>
      </c>
      <c r="S9" s="13" t="s">
        <v>143</v>
      </c>
    </row>
    <row r="10" spans="1:19" ht="26.4" x14ac:dyDescent="0.3">
      <c r="A10" s="10" t="s">
        <v>144</v>
      </c>
      <c r="B10" s="5" t="s">
        <v>145</v>
      </c>
      <c r="C10" s="8" t="s">
        <v>146</v>
      </c>
      <c r="D10" s="8" t="s">
        <v>16</v>
      </c>
      <c r="E10" s="8" t="s">
        <v>69</v>
      </c>
      <c r="F10" s="11">
        <v>48</v>
      </c>
      <c r="G10" s="11">
        <v>48</v>
      </c>
      <c r="H10" s="15">
        <v>64</v>
      </c>
      <c r="I10" s="15" t="s">
        <v>345</v>
      </c>
      <c r="J10" s="15" t="s">
        <v>346</v>
      </c>
      <c r="K10" s="15">
        <f>IFERROR(INDEX(G10:J10,MATCH($E10,Ediciones!$A$5:$A$8,0))*Leeme!$C$6,"")</f>
        <v>480</v>
      </c>
      <c r="L10" s="15" t="s">
        <v>347</v>
      </c>
      <c r="M10" s="10"/>
      <c r="N10" s="10" t="s">
        <v>121</v>
      </c>
      <c r="O10" s="10" t="s">
        <v>121</v>
      </c>
      <c r="P10" s="10" t="s">
        <v>121</v>
      </c>
      <c r="Q10" s="10" t="s">
        <v>121</v>
      </c>
      <c r="R10" s="10" t="s">
        <v>122</v>
      </c>
      <c r="S10" s="10"/>
    </row>
    <row r="11" spans="1:19" ht="26.4" x14ac:dyDescent="0.3">
      <c r="A11" s="10" t="s">
        <v>147</v>
      </c>
      <c r="B11" s="5" t="s">
        <v>148</v>
      </c>
      <c r="C11" s="8" t="s">
        <v>149</v>
      </c>
      <c r="D11" s="8" t="s">
        <v>16</v>
      </c>
      <c r="E11" s="8" t="s">
        <v>69</v>
      </c>
      <c r="F11" s="11">
        <v>48</v>
      </c>
      <c r="G11" s="11">
        <v>48</v>
      </c>
      <c r="H11" s="15">
        <v>64</v>
      </c>
      <c r="I11" s="15" t="s">
        <v>345</v>
      </c>
      <c r="J11" s="15" t="s">
        <v>346</v>
      </c>
      <c r="K11" s="15">
        <f>IFERROR(INDEX(G11:J11,MATCH($E11,Ediciones!$A$5:$A$8,0))*Leeme!$C$6,"")</f>
        <v>480</v>
      </c>
      <c r="L11" s="15" t="s">
        <v>347</v>
      </c>
      <c r="M11" s="10"/>
      <c r="N11" s="10" t="s">
        <v>121</v>
      </c>
      <c r="O11" s="10" t="s">
        <v>121</v>
      </c>
      <c r="P11" s="10" t="s">
        <v>121</v>
      </c>
      <c r="Q11" s="10" t="s">
        <v>121</v>
      </c>
      <c r="R11" s="10" t="s">
        <v>122</v>
      </c>
      <c r="S11" s="10"/>
    </row>
    <row r="12" spans="1:19" ht="26.4" x14ac:dyDescent="0.3">
      <c r="A12" s="10" t="s">
        <v>150</v>
      </c>
      <c r="B12" s="5" t="s">
        <v>151</v>
      </c>
      <c r="C12" s="8" t="s">
        <v>152</v>
      </c>
      <c r="D12" s="8" t="s">
        <v>15</v>
      </c>
      <c r="E12" s="8" t="s">
        <v>69</v>
      </c>
      <c r="F12" s="11">
        <v>48</v>
      </c>
      <c r="G12" s="11">
        <v>48</v>
      </c>
      <c r="H12" s="15">
        <v>64</v>
      </c>
      <c r="I12" s="15" t="s">
        <v>345</v>
      </c>
      <c r="J12" s="15" t="s">
        <v>346</v>
      </c>
      <c r="K12" s="15">
        <f>IFERROR(INDEX(G12:J12,MATCH($E12,Ediciones!$A$5:$A$8,0))*Leeme!$C$6,"")</f>
        <v>480</v>
      </c>
      <c r="L12" s="15" t="s">
        <v>347</v>
      </c>
      <c r="M12" s="10" t="s">
        <v>153</v>
      </c>
      <c r="N12" s="10" t="s">
        <v>121</v>
      </c>
      <c r="O12" s="10" t="s">
        <v>121</v>
      </c>
      <c r="P12" s="10" t="s">
        <v>121</v>
      </c>
      <c r="Q12" s="10" t="s">
        <v>121</v>
      </c>
      <c r="R12" s="10" t="s">
        <v>122</v>
      </c>
      <c r="S12" s="10"/>
    </row>
    <row r="13" spans="1:19" ht="26.4" x14ac:dyDescent="0.3">
      <c r="A13" s="10" t="s">
        <v>154</v>
      </c>
      <c r="B13" s="5" t="s">
        <v>155</v>
      </c>
      <c r="C13" s="8" t="s">
        <v>156</v>
      </c>
      <c r="D13" s="8" t="s">
        <v>15</v>
      </c>
      <c r="E13" s="8" t="s">
        <v>69</v>
      </c>
      <c r="F13" s="11">
        <v>48</v>
      </c>
      <c r="G13" s="11">
        <v>48</v>
      </c>
      <c r="H13" s="15">
        <v>64</v>
      </c>
      <c r="I13" s="15" t="s">
        <v>345</v>
      </c>
      <c r="J13" s="15" t="s">
        <v>346</v>
      </c>
      <c r="K13" s="15">
        <f>IFERROR(INDEX(G13:J13,MATCH($E13,Ediciones!$A$5:$A$8,0))*Leeme!$C$6,"")</f>
        <v>480</v>
      </c>
      <c r="L13" s="15" t="s">
        <v>347</v>
      </c>
      <c r="M13" s="10"/>
      <c r="N13" s="10" t="s">
        <v>121</v>
      </c>
      <c r="O13" s="10" t="s">
        <v>121</v>
      </c>
      <c r="P13" s="10" t="s">
        <v>121</v>
      </c>
      <c r="Q13" s="10" t="s">
        <v>121</v>
      </c>
      <c r="R13" s="10" t="s">
        <v>122</v>
      </c>
      <c r="S13" s="10"/>
    </row>
    <row r="14" spans="1:19" ht="26.4" x14ac:dyDescent="0.3">
      <c r="A14" s="10" t="s">
        <v>157</v>
      </c>
      <c r="B14" s="5" t="s">
        <v>158</v>
      </c>
      <c r="C14" s="8" t="s">
        <v>159</v>
      </c>
      <c r="D14" s="8" t="s">
        <v>16</v>
      </c>
      <c r="E14" s="8" t="s">
        <v>69</v>
      </c>
      <c r="F14" s="11">
        <v>48</v>
      </c>
      <c r="G14" s="11">
        <v>48</v>
      </c>
      <c r="H14" s="15">
        <v>64</v>
      </c>
      <c r="I14" s="15" t="s">
        <v>345</v>
      </c>
      <c r="J14" s="15" t="s">
        <v>346</v>
      </c>
      <c r="K14" s="15">
        <f>IFERROR(INDEX(G14:J14,MATCH($E14,Ediciones!$A$5:$A$8,0))*Leeme!$C$6,"")</f>
        <v>480</v>
      </c>
      <c r="L14" s="15" t="s">
        <v>347</v>
      </c>
      <c r="M14" s="10"/>
      <c r="N14" s="10" t="s">
        <v>121</v>
      </c>
      <c r="O14" s="10" t="s">
        <v>121</v>
      </c>
      <c r="P14" s="10" t="s">
        <v>121</v>
      </c>
      <c r="Q14" s="10" t="s">
        <v>121</v>
      </c>
      <c r="R14" s="10" t="s">
        <v>122</v>
      </c>
      <c r="S14" s="10"/>
    </row>
    <row r="15" spans="1:19" ht="26.4" x14ac:dyDescent="0.3">
      <c r="A15" s="10" t="s">
        <v>160</v>
      </c>
      <c r="B15" s="5" t="s">
        <v>161</v>
      </c>
      <c r="C15" s="8" t="s">
        <v>162</v>
      </c>
      <c r="D15" s="8" t="s">
        <v>15</v>
      </c>
      <c r="E15" s="8" t="s">
        <v>69</v>
      </c>
      <c r="F15" s="11">
        <v>48</v>
      </c>
      <c r="G15" s="11">
        <v>48</v>
      </c>
      <c r="H15" s="15">
        <v>64</v>
      </c>
      <c r="I15" s="15" t="s">
        <v>345</v>
      </c>
      <c r="J15" s="15" t="s">
        <v>346</v>
      </c>
      <c r="K15" s="15">
        <f>IFERROR(INDEX(G15:J15,MATCH($E15,Ediciones!$A$5:$A$8,0))*Leeme!$C$6,"")</f>
        <v>480</v>
      </c>
      <c r="L15" s="15" t="s">
        <v>347</v>
      </c>
      <c r="M15" s="10"/>
      <c r="N15" s="10" t="s">
        <v>121</v>
      </c>
      <c r="O15" s="10" t="s">
        <v>121</v>
      </c>
      <c r="P15" s="10" t="s">
        <v>121</v>
      </c>
      <c r="Q15" s="10" t="s">
        <v>121</v>
      </c>
      <c r="R15" s="10" t="s">
        <v>122</v>
      </c>
      <c r="S15" s="10"/>
    </row>
    <row r="16" spans="1:19" ht="26.4" x14ac:dyDescent="0.3">
      <c r="A16" s="10" t="s">
        <v>163</v>
      </c>
      <c r="B16" s="5" t="s">
        <v>164</v>
      </c>
      <c r="C16" s="8" t="s">
        <v>165</v>
      </c>
      <c r="D16" s="8" t="s">
        <v>17</v>
      </c>
      <c r="E16" s="8" t="s">
        <v>69</v>
      </c>
      <c r="F16" s="11">
        <v>48</v>
      </c>
      <c r="G16" s="11">
        <v>48</v>
      </c>
      <c r="H16" s="15">
        <v>64</v>
      </c>
      <c r="I16" s="15" t="s">
        <v>345</v>
      </c>
      <c r="J16" s="15" t="s">
        <v>346</v>
      </c>
      <c r="K16" s="15">
        <f>IFERROR(INDEX(G16:J16,MATCH($E16,Ediciones!$A$5:$A$8,0))*Leeme!$C$6,"")</f>
        <v>480</v>
      </c>
      <c r="L16" s="15" t="s">
        <v>347</v>
      </c>
      <c r="M16" s="10"/>
      <c r="N16" s="10" t="s">
        <v>121</v>
      </c>
      <c r="O16" s="10" t="s">
        <v>121</v>
      </c>
      <c r="P16" s="10" t="s">
        <v>121</v>
      </c>
      <c r="Q16" s="10" t="s">
        <v>121</v>
      </c>
      <c r="R16" s="10" t="s">
        <v>166</v>
      </c>
      <c r="S16" s="13" t="s">
        <v>167</v>
      </c>
    </row>
    <row r="17" spans="1:19" ht="26.4" x14ac:dyDescent="0.3">
      <c r="A17" s="10" t="s">
        <v>168</v>
      </c>
      <c r="B17" s="5" t="s">
        <v>169</v>
      </c>
      <c r="C17" s="8" t="s">
        <v>170</v>
      </c>
      <c r="D17" s="6"/>
      <c r="E17" s="8" t="s">
        <v>69</v>
      </c>
      <c r="F17" s="11">
        <v>48</v>
      </c>
      <c r="G17" s="11">
        <v>48</v>
      </c>
      <c r="H17" s="15">
        <v>64</v>
      </c>
      <c r="I17" s="15" t="s">
        <v>345</v>
      </c>
      <c r="J17" s="15" t="s">
        <v>346</v>
      </c>
      <c r="K17" s="15">
        <f>IFERROR(INDEX(G17:J17,MATCH($E17,Ediciones!$A$5:$A$8,0))*Leeme!$C$6,"")</f>
        <v>480</v>
      </c>
      <c r="L17" s="15" t="s">
        <v>347</v>
      </c>
      <c r="M17" s="10"/>
      <c r="N17" s="10" t="s">
        <v>171</v>
      </c>
      <c r="O17" s="10" t="s">
        <v>172</v>
      </c>
      <c r="P17" s="10" t="s">
        <v>173</v>
      </c>
      <c r="Q17" s="10" t="s">
        <v>173</v>
      </c>
      <c r="R17" s="10" t="s">
        <v>174</v>
      </c>
      <c r="S17" s="13" t="s">
        <v>175</v>
      </c>
    </row>
    <row r="18" spans="1:19" ht="26.4" x14ac:dyDescent="0.3">
      <c r="A18" s="10" t="s">
        <v>176</v>
      </c>
      <c r="B18" s="5" t="s">
        <v>177</v>
      </c>
      <c r="C18" s="8" t="s">
        <v>178</v>
      </c>
      <c r="D18" s="6"/>
      <c r="E18" s="8" t="s">
        <v>69</v>
      </c>
      <c r="F18" s="11">
        <v>48</v>
      </c>
      <c r="G18" s="11">
        <v>48</v>
      </c>
      <c r="H18" s="15">
        <v>64</v>
      </c>
      <c r="I18" s="15" t="s">
        <v>345</v>
      </c>
      <c r="J18" s="15" t="s">
        <v>346</v>
      </c>
      <c r="K18" s="15">
        <f>IFERROR(INDEX(G18:J18,MATCH($E18,Ediciones!$A$5:$A$8,0))*Leeme!$C$6,"")</f>
        <v>480</v>
      </c>
      <c r="L18" s="15" t="s">
        <v>347</v>
      </c>
      <c r="M18" s="10"/>
      <c r="N18" s="10" t="s">
        <v>171</v>
      </c>
      <c r="O18" s="10" t="s">
        <v>172</v>
      </c>
      <c r="P18" s="10" t="s">
        <v>173</v>
      </c>
      <c r="Q18" s="10" t="s">
        <v>173</v>
      </c>
      <c r="R18" s="10" t="s">
        <v>174</v>
      </c>
      <c r="S18" s="13" t="s">
        <v>179</v>
      </c>
    </row>
    <row r="19" spans="1:19" ht="26.4" x14ac:dyDescent="0.3">
      <c r="A19" s="10" t="s">
        <v>180</v>
      </c>
      <c r="B19" s="5" t="s">
        <v>181</v>
      </c>
      <c r="C19" s="8" t="s">
        <v>182</v>
      </c>
      <c r="D19" s="6"/>
      <c r="E19" s="8" t="s">
        <v>69</v>
      </c>
      <c r="F19" s="11">
        <v>48</v>
      </c>
      <c r="G19" s="11">
        <v>48</v>
      </c>
      <c r="H19" s="15">
        <v>64</v>
      </c>
      <c r="I19" s="15" t="s">
        <v>345</v>
      </c>
      <c r="J19" s="15" t="s">
        <v>346</v>
      </c>
      <c r="K19" s="15">
        <f>IFERROR(INDEX(G19:J19,MATCH($E19,Ediciones!$A$5:$A$8,0))*Leeme!$C$6,"")</f>
        <v>480</v>
      </c>
      <c r="L19" s="15" t="s">
        <v>347</v>
      </c>
      <c r="M19" s="10"/>
      <c r="N19" s="10" t="s">
        <v>183</v>
      </c>
      <c r="O19" s="10" t="s">
        <v>173</v>
      </c>
      <c r="P19" s="10" t="s">
        <v>121</v>
      </c>
      <c r="Q19" s="10" t="s">
        <v>121</v>
      </c>
      <c r="R19" s="10" t="s">
        <v>184</v>
      </c>
      <c r="S19" s="13" t="s">
        <v>185</v>
      </c>
    </row>
    <row r="20" spans="1:19" ht="26.4" x14ac:dyDescent="0.3">
      <c r="A20" s="10" t="s">
        <v>186</v>
      </c>
      <c r="B20" s="5" t="s">
        <v>187</v>
      </c>
      <c r="C20" s="8" t="s">
        <v>188</v>
      </c>
      <c r="D20" s="6"/>
      <c r="E20" s="8" t="s">
        <v>69</v>
      </c>
      <c r="F20" s="11">
        <v>48</v>
      </c>
      <c r="G20" s="11">
        <v>48</v>
      </c>
      <c r="H20" s="15">
        <v>64</v>
      </c>
      <c r="I20" s="15" t="s">
        <v>345</v>
      </c>
      <c r="J20" s="15" t="s">
        <v>346</v>
      </c>
      <c r="K20" s="15">
        <f>IFERROR(INDEX(G20:J20,MATCH($E20,Ediciones!$A$5:$A$8,0))*Leeme!$C$6,"")</f>
        <v>480</v>
      </c>
      <c r="L20" s="15" t="s">
        <v>347</v>
      </c>
      <c r="M20" s="10"/>
      <c r="N20" s="10" t="s">
        <v>173</v>
      </c>
      <c r="O20" s="10" t="s">
        <v>173</v>
      </c>
      <c r="P20" s="10" t="s">
        <v>121</v>
      </c>
      <c r="Q20" s="10" t="s">
        <v>121</v>
      </c>
      <c r="R20" s="10" t="s">
        <v>189</v>
      </c>
      <c r="S20" s="13" t="s">
        <v>190</v>
      </c>
    </row>
    <row r="21" spans="1:19" ht="26.4" x14ac:dyDescent="0.3">
      <c r="A21" s="10" t="s">
        <v>191</v>
      </c>
      <c r="B21" s="5" t="s">
        <v>192</v>
      </c>
      <c r="C21" s="8" t="s">
        <v>193</v>
      </c>
      <c r="D21" s="6"/>
      <c r="E21" s="8" t="s">
        <v>69</v>
      </c>
      <c r="F21" s="11">
        <v>48</v>
      </c>
      <c r="G21" s="11">
        <v>48</v>
      </c>
      <c r="H21" s="15">
        <v>64</v>
      </c>
      <c r="I21" s="15" t="s">
        <v>345</v>
      </c>
      <c r="J21" s="15" t="s">
        <v>346</v>
      </c>
      <c r="K21" s="15">
        <f>IFERROR(INDEX(G21:J21,MATCH($E21,Ediciones!$A$5:$A$8,0))*Leeme!$C$6,"")</f>
        <v>480</v>
      </c>
      <c r="L21" s="15" t="s">
        <v>347</v>
      </c>
      <c r="M21" s="10"/>
      <c r="N21" s="10" t="s">
        <v>173</v>
      </c>
      <c r="O21" s="10" t="s">
        <v>173</v>
      </c>
      <c r="P21" s="10" t="s">
        <v>173</v>
      </c>
      <c r="Q21" s="10" t="s">
        <v>121</v>
      </c>
      <c r="R21" s="10" t="s">
        <v>194</v>
      </c>
      <c r="S21" s="13" t="s">
        <v>195</v>
      </c>
    </row>
    <row r="22" spans="1:19" ht="26.4" x14ac:dyDescent="0.3">
      <c r="A22" s="10" t="s">
        <v>196</v>
      </c>
      <c r="B22" s="5" t="s">
        <v>197</v>
      </c>
      <c r="C22" s="8" t="s">
        <v>198</v>
      </c>
      <c r="D22" s="6"/>
      <c r="E22" s="8" t="s">
        <v>69</v>
      </c>
      <c r="F22" s="11">
        <v>48</v>
      </c>
      <c r="G22" s="11">
        <v>48</v>
      </c>
      <c r="H22" s="15">
        <v>64</v>
      </c>
      <c r="I22" s="15" t="s">
        <v>345</v>
      </c>
      <c r="J22" s="15" t="s">
        <v>346</v>
      </c>
      <c r="K22" s="15">
        <f>IFERROR(INDEX(G22:J22,MATCH($E22,Ediciones!$A$5:$A$8,0))*Leeme!$C$6,"")</f>
        <v>480</v>
      </c>
      <c r="L22" s="15" t="s">
        <v>347</v>
      </c>
      <c r="M22" s="10"/>
      <c r="N22" s="10" t="s">
        <v>173</v>
      </c>
      <c r="O22" s="10" t="s">
        <v>173</v>
      </c>
      <c r="P22" s="10" t="s">
        <v>121</v>
      </c>
      <c r="Q22" s="10" t="s">
        <v>121</v>
      </c>
      <c r="R22" s="10" t="s">
        <v>199</v>
      </c>
      <c r="S22" s="13" t="s">
        <v>200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zoomScaleNormal="100" workbookViewId="0"/>
  </sheetViews>
  <sheetFormatPr defaultColWidth="8.6640625" defaultRowHeight="14.4" x14ac:dyDescent="0.3"/>
  <cols>
    <col min="1" max="1" width="40" customWidth="1"/>
    <col min="2" max="3" width="10" customWidth="1"/>
    <col min="4" max="5" width="12" customWidth="1"/>
    <col min="6" max="6" width="14" customWidth="1"/>
    <col min="7" max="7" width="30" customWidth="1"/>
    <col min="8" max="8" width="34" customWidth="1"/>
    <col min="9" max="9" width="60" customWidth="1"/>
  </cols>
  <sheetData>
    <row r="1" spans="1:9" ht="17.399999999999999" x14ac:dyDescent="0.3">
      <c r="A1" s="1" t="s">
        <v>201</v>
      </c>
    </row>
    <row r="3" spans="1:9" ht="30" customHeight="1" x14ac:dyDescent="0.3">
      <c r="A3" s="9" t="s">
        <v>202</v>
      </c>
      <c r="B3" s="9" t="s">
        <v>69</v>
      </c>
      <c r="C3" s="9" t="s">
        <v>77</v>
      </c>
      <c r="D3" s="9" t="s">
        <v>203</v>
      </c>
      <c r="E3" s="9" t="s">
        <v>90</v>
      </c>
      <c r="F3" s="9" t="s">
        <v>204</v>
      </c>
      <c r="G3" s="9" t="s">
        <v>66</v>
      </c>
      <c r="H3" s="9" t="s">
        <v>20</v>
      </c>
      <c r="I3" s="9" t="s">
        <v>67</v>
      </c>
    </row>
    <row r="4" spans="1:9" x14ac:dyDescent="0.3">
      <c r="A4" s="5" t="s">
        <v>205</v>
      </c>
      <c r="B4" s="11">
        <v>5</v>
      </c>
      <c r="C4" s="11">
        <v>4</v>
      </c>
      <c r="D4" s="11">
        <v>3</v>
      </c>
      <c r="E4" s="11">
        <v>2</v>
      </c>
      <c r="F4" s="10" t="s">
        <v>14</v>
      </c>
      <c r="G4" s="10" t="s">
        <v>74</v>
      </c>
      <c r="H4" s="10" t="s">
        <v>206</v>
      </c>
      <c r="I4" s="10"/>
    </row>
    <row r="5" spans="1:9" x14ac:dyDescent="0.3">
      <c r="A5" s="5" t="s">
        <v>207</v>
      </c>
      <c r="B5" s="8" t="s">
        <v>208</v>
      </c>
      <c r="C5" s="8" t="s">
        <v>208</v>
      </c>
      <c r="D5" s="11">
        <v>5</v>
      </c>
      <c r="E5" s="8" t="s">
        <v>209</v>
      </c>
      <c r="F5" s="10" t="s">
        <v>14</v>
      </c>
      <c r="G5" s="10" t="s">
        <v>210</v>
      </c>
      <c r="H5" s="10" t="s">
        <v>206</v>
      </c>
      <c r="I5" s="13" t="s">
        <v>211</v>
      </c>
    </row>
    <row r="6" spans="1:9" x14ac:dyDescent="0.3">
      <c r="A6" s="5" t="s">
        <v>212</v>
      </c>
      <c r="B6" s="8" t="s">
        <v>208</v>
      </c>
      <c r="C6" s="8" t="s">
        <v>208</v>
      </c>
      <c r="D6" s="11">
        <v>5</v>
      </c>
      <c r="E6" s="8" t="s">
        <v>209</v>
      </c>
      <c r="F6" s="10" t="s">
        <v>14</v>
      </c>
      <c r="G6" s="10" t="s">
        <v>210</v>
      </c>
      <c r="H6" s="10" t="s">
        <v>206</v>
      </c>
      <c r="I6" s="13" t="s">
        <v>211</v>
      </c>
    </row>
    <row r="7" spans="1:9" ht="39.6" x14ac:dyDescent="0.3">
      <c r="A7" s="5" t="s">
        <v>213</v>
      </c>
      <c r="B7" s="8" t="s">
        <v>208</v>
      </c>
      <c r="C7" s="8" t="s">
        <v>208</v>
      </c>
      <c r="D7" s="8" t="s">
        <v>214</v>
      </c>
      <c r="E7" s="11">
        <v>64</v>
      </c>
      <c r="F7" s="10" t="s">
        <v>14</v>
      </c>
      <c r="G7" s="10" t="s">
        <v>215</v>
      </c>
      <c r="H7" s="10" t="s">
        <v>216</v>
      </c>
      <c r="I7" s="13" t="s">
        <v>217</v>
      </c>
    </row>
    <row r="8" spans="1:9" x14ac:dyDescent="0.3">
      <c r="A8" s="5" t="s">
        <v>218</v>
      </c>
      <c r="B8" s="8" t="s">
        <v>219</v>
      </c>
      <c r="C8" s="8" t="s">
        <v>219</v>
      </c>
      <c r="D8" s="8" t="s">
        <v>219</v>
      </c>
      <c r="E8" s="8" t="s">
        <v>219</v>
      </c>
      <c r="F8" s="10" t="s">
        <v>208</v>
      </c>
      <c r="G8" s="10" t="s">
        <v>74</v>
      </c>
      <c r="H8" s="10" t="s">
        <v>206</v>
      </c>
      <c r="I8" s="13" t="s">
        <v>220</v>
      </c>
    </row>
    <row r="9" spans="1:9" ht="26.4" x14ac:dyDescent="0.3">
      <c r="A9" s="5" t="s">
        <v>221</v>
      </c>
      <c r="B9" s="6"/>
      <c r="C9" s="6"/>
      <c r="D9" s="6"/>
      <c r="E9" s="6"/>
      <c r="F9" s="10" t="s">
        <v>222</v>
      </c>
      <c r="G9" s="10" t="s">
        <v>223</v>
      </c>
      <c r="H9" s="10" t="s">
        <v>224</v>
      </c>
      <c r="I9" s="13" t="s">
        <v>225</v>
      </c>
    </row>
    <row r="10" spans="1:9" x14ac:dyDescent="0.3">
      <c r="A10" s="5" t="s">
        <v>226</v>
      </c>
      <c r="B10" s="6"/>
      <c r="C10" s="6"/>
      <c r="D10" s="6"/>
      <c r="E10" s="6"/>
      <c r="F10" s="10" t="s">
        <v>222</v>
      </c>
      <c r="G10" s="10" t="s">
        <v>227</v>
      </c>
      <c r="H10" s="10" t="s">
        <v>228</v>
      </c>
      <c r="I10" s="13" t="s">
        <v>229</v>
      </c>
    </row>
    <row r="11" spans="1:9" ht="26.4" x14ac:dyDescent="0.3">
      <c r="A11" s="5" t="s">
        <v>230</v>
      </c>
      <c r="B11" s="6"/>
      <c r="C11" s="6"/>
      <c r="D11" s="6"/>
      <c r="E11" s="6"/>
      <c r="F11" s="10" t="s">
        <v>231</v>
      </c>
      <c r="G11" s="10" t="s">
        <v>227</v>
      </c>
      <c r="H11" s="10" t="s">
        <v>232</v>
      </c>
      <c r="I11" s="13" t="s">
        <v>229</v>
      </c>
    </row>
    <row r="12" spans="1:9" x14ac:dyDescent="0.3">
      <c r="A12" s="5" t="s">
        <v>233</v>
      </c>
      <c r="B12" s="6"/>
      <c r="C12" s="6"/>
      <c r="D12" s="6"/>
      <c r="E12" s="6"/>
      <c r="F12" s="10" t="s">
        <v>14</v>
      </c>
      <c r="G12" s="10" t="s">
        <v>227</v>
      </c>
      <c r="H12" s="10" t="s">
        <v>234</v>
      </c>
      <c r="I12" s="13" t="s">
        <v>235</v>
      </c>
    </row>
    <row r="13" spans="1:9" ht="26.4" x14ac:dyDescent="0.3">
      <c r="A13" s="5" t="s">
        <v>236</v>
      </c>
      <c r="B13" s="6"/>
      <c r="C13" s="6"/>
      <c r="D13" s="11">
        <v>15</v>
      </c>
      <c r="E13" s="11">
        <v>15</v>
      </c>
      <c r="F13" s="10" t="s">
        <v>14</v>
      </c>
      <c r="G13" s="10" t="s">
        <v>210</v>
      </c>
      <c r="H13" s="10" t="s">
        <v>237</v>
      </c>
      <c r="I13" s="13" t="s">
        <v>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zoomScaleNormal="100" workbookViewId="0"/>
  </sheetViews>
  <sheetFormatPr defaultColWidth="8.6640625" defaultRowHeight="14.4" x14ac:dyDescent="0.3"/>
  <cols>
    <col min="1" max="1" width="4" customWidth="1"/>
    <col min="2" max="2" width="40" customWidth="1"/>
    <col min="3" max="3" width="11" customWidth="1"/>
    <col min="4" max="6" width="9" customWidth="1"/>
    <col min="7" max="7" width="20" customWidth="1"/>
    <col min="8" max="8" width="58" customWidth="1"/>
    <col min="9" max="9" width="60" customWidth="1"/>
  </cols>
  <sheetData>
    <row r="1" spans="1:9" ht="17.399999999999999" x14ac:dyDescent="0.3">
      <c r="A1" s="1" t="s">
        <v>239</v>
      </c>
    </row>
    <row r="2" spans="1:9" x14ac:dyDescent="0.3">
      <c r="A2" s="3" t="s">
        <v>240</v>
      </c>
    </row>
    <row r="4" spans="1:9" ht="30" customHeight="1" x14ac:dyDescent="0.3">
      <c r="A4" s="9" t="s">
        <v>19</v>
      </c>
      <c r="B4" s="9" t="s">
        <v>241</v>
      </c>
      <c r="C4" s="9" t="s">
        <v>242</v>
      </c>
      <c r="D4" s="9" t="s">
        <v>14</v>
      </c>
      <c r="E4" s="9" t="s">
        <v>59</v>
      </c>
      <c r="F4" s="9" t="s">
        <v>243</v>
      </c>
      <c r="G4" s="9" t="s">
        <v>66</v>
      </c>
      <c r="H4" s="9" t="s">
        <v>20</v>
      </c>
      <c r="I4" s="9" t="s">
        <v>67</v>
      </c>
    </row>
    <row r="5" spans="1:9" ht="26.4" x14ac:dyDescent="0.3">
      <c r="A5" s="10">
        <v>1</v>
      </c>
      <c r="B5" s="5" t="s">
        <v>244</v>
      </c>
      <c r="C5" s="8" t="s">
        <v>245</v>
      </c>
      <c r="D5" s="18">
        <v>36</v>
      </c>
      <c r="E5" s="15">
        <f>IF(ISNUMBER(D5),D5*Leeme!$C$6,"")</f>
        <v>360</v>
      </c>
      <c r="F5" s="11"/>
      <c r="G5" s="10" t="s">
        <v>246</v>
      </c>
      <c r="H5" s="10" t="s">
        <v>247</v>
      </c>
      <c r="I5" s="13" t="s">
        <v>248</v>
      </c>
    </row>
    <row r="6" spans="1:9" ht="26.4" x14ac:dyDescent="0.3">
      <c r="A6" s="10">
        <v>2</v>
      </c>
      <c r="B6" s="5" t="s">
        <v>249</v>
      </c>
      <c r="C6" s="8" t="s">
        <v>250</v>
      </c>
      <c r="D6" s="11"/>
      <c r="E6" s="15" t="str">
        <f>IF(ISNUMBER(D6),D6*Leeme!$C$6,"")</f>
        <v/>
      </c>
      <c r="F6" s="11"/>
      <c r="G6" s="10" t="s">
        <v>210</v>
      </c>
      <c r="H6" s="10" t="s">
        <v>29</v>
      </c>
      <c r="I6" s="13" t="s">
        <v>251</v>
      </c>
    </row>
    <row r="7" spans="1:9" ht="26.4" x14ac:dyDescent="0.3">
      <c r="A7" s="10">
        <v>3</v>
      </c>
      <c r="B7" s="5" t="s">
        <v>252</v>
      </c>
      <c r="C7" s="8" t="s">
        <v>253</v>
      </c>
      <c r="D7" s="11">
        <v>29</v>
      </c>
      <c r="E7" s="15">
        <f>IF(ISNUMBER(D7),D7*Leeme!$C$6,"")</f>
        <v>290</v>
      </c>
      <c r="F7" s="11">
        <v>800</v>
      </c>
      <c r="G7" s="10" t="s">
        <v>254</v>
      </c>
      <c r="H7" s="10" t="s">
        <v>255</v>
      </c>
      <c r="I7" s="13" t="s">
        <v>256</v>
      </c>
    </row>
    <row r="8" spans="1:9" ht="26.4" x14ac:dyDescent="0.3">
      <c r="A8" s="10">
        <v>4</v>
      </c>
      <c r="B8" s="5" t="s">
        <v>257</v>
      </c>
      <c r="C8" s="8" t="s">
        <v>250</v>
      </c>
      <c r="D8" s="11"/>
      <c r="E8" s="15" t="str">
        <f>IF(ISNUMBER(D8),D8*Leeme!$C$6,"")</f>
        <v/>
      </c>
      <c r="F8" s="11"/>
      <c r="G8" s="10" t="s">
        <v>258</v>
      </c>
      <c r="H8" s="10" t="s">
        <v>259</v>
      </c>
      <c r="I8" s="13" t="s">
        <v>260</v>
      </c>
    </row>
    <row r="9" spans="1:9" x14ac:dyDescent="0.3">
      <c r="A9" s="10">
        <v>5</v>
      </c>
      <c r="B9" s="5" t="s">
        <v>261</v>
      </c>
      <c r="C9" s="8" t="s">
        <v>250</v>
      </c>
      <c r="D9" s="11"/>
      <c r="E9" s="15" t="str">
        <f>IF(ISNUMBER(D9),D9*Leeme!$C$6,"")</f>
        <v/>
      </c>
      <c r="F9" s="11"/>
      <c r="G9" s="10" t="s">
        <v>262</v>
      </c>
      <c r="H9" s="10" t="s">
        <v>263</v>
      </c>
      <c r="I9" s="10"/>
    </row>
    <row r="10" spans="1:9" ht="26.4" x14ac:dyDescent="0.3">
      <c r="A10" s="10">
        <v>6</v>
      </c>
      <c r="B10" s="5" t="s">
        <v>264</v>
      </c>
      <c r="C10" s="8" t="s">
        <v>245</v>
      </c>
      <c r="D10" s="11"/>
      <c r="E10" s="15" t="str">
        <f>IF(ISNUMBER(D10),D10*Leeme!$C$6,"")</f>
        <v/>
      </c>
      <c r="F10" s="11"/>
      <c r="G10" s="10" t="s">
        <v>265</v>
      </c>
      <c r="H10" s="10" t="s">
        <v>266</v>
      </c>
      <c r="I10" s="13" t="s">
        <v>267</v>
      </c>
    </row>
    <row r="11" spans="1:9" x14ac:dyDescent="0.3">
      <c r="A11" s="10">
        <v>7</v>
      </c>
      <c r="B11" s="5" t="s">
        <v>268</v>
      </c>
      <c r="C11" s="8" t="s">
        <v>208</v>
      </c>
      <c r="D11" s="11"/>
      <c r="E11" s="15" t="str">
        <f>IF(ISNUMBER(D11),D11*Leeme!$C$6,"")</f>
        <v/>
      </c>
      <c r="F11" s="11"/>
      <c r="G11" s="10" t="s">
        <v>265</v>
      </c>
      <c r="H11" s="10" t="s">
        <v>269</v>
      </c>
      <c r="I11" s="13" t="s">
        <v>270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zoomScaleNormal="100" workbookViewId="0"/>
  </sheetViews>
  <sheetFormatPr defaultColWidth="8.6640625" defaultRowHeight="14.4" x14ac:dyDescent="0.3"/>
  <cols>
    <col min="1" max="1" width="4" customWidth="1"/>
    <col min="2" max="2" width="26" customWidth="1"/>
    <col min="3" max="4" width="44" customWidth="1"/>
    <col min="5" max="5" width="50" customWidth="1"/>
    <col min="6" max="6" width="40" customWidth="1"/>
  </cols>
  <sheetData>
    <row r="1" spans="1:6" ht="17.399999999999999" x14ac:dyDescent="0.3">
      <c r="A1" s="1" t="s">
        <v>271</v>
      </c>
    </row>
    <row r="3" spans="1:6" ht="30" customHeight="1" x14ac:dyDescent="0.3">
      <c r="A3" s="9" t="s">
        <v>19</v>
      </c>
      <c r="B3" s="9" t="s">
        <v>272</v>
      </c>
      <c r="C3" s="9" t="s">
        <v>273</v>
      </c>
      <c r="D3" s="9" t="s">
        <v>274</v>
      </c>
      <c r="E3" s="9" t="s">
        <v>275</v>
      </c>
      <c r="F3" s="9" t="s">
        <v>276</v>
      </c>
    </row>
    <row r="4" spans="1:6" ht="26.4" x14ac:dyDescent="0.3">
      <c r="A4" s="10">
        <v>1</v>
      </c>
      <c r="B4" s="5" t="s">
        <v>277</v>
      </c>
      <c r="C4" s="10" t="s">
        <v>278</v>
      </c>
      <c r="D4" s="10" t="s">
        <v>279</v>
      </c>
      <c r="E4" s="10" t="s">
        <v>280</v>
      </c>
      <c r="F4" s="13"/>
    </row>
    <row r="5" spans="1:6" x14ac:dyDescent="0.3">
      <c r="A5" s="10">
        <v>2</v>
      </c>
      <c r="B5" s="5" t="s">
        <v>281</v>
      </c>
      <c r="C5" s="10" t="s">
        <v>282</v>
      </c>
      <c r="D5" s="10" t="s">
        <v>283</v>
      </c>
      <c r="E5" s="10" t="s">
        <v>284</v>
      </c>
      <c r="F5" s="13"/>
    </row>
    <row r="6" spans="1:6" ht="26.4" x14ac:dyDescent="0.3">
      <c r="A6" s="10">
        <v>3</v>
      </c>
      <c r="B6" s="5" t="s">
        <v>285</v>
      </c>
      <c r="C6" s="10" t="s">
        <v>286</v>
      </c>
      <c r="D6" s="10" t="s">
        <v>287</v>
      </c>
      <c r="E6" s="10" t="s">
        <v>288</v>
      </c>
      <c r="F6" s="13"/>
    </row>
    <row r="7" spans="1:6" x14ac:dyDescent="0.3">
      <c r="A7" s="10">
        <v>4</v>
      </c>
      <c r="B7" s="5" t="s">
        <v>289</v>
      </c>
      <c r="C7" s="10" t="s">
        <v>290</v>
      </c>
      <c r="D7" s="10" t="s">
        <v>291</v>
      </c>
      <c r="E7" s="10" t="s">
        <v>292</v>
      </c>
      <c r="F7" s="13"/>
    </row>
    <row r="8" spans="1:6" ht="26.4" x14ac:dyDescent="0.3">
      <c r="A8" s="10">
        <v>5</v>
      </c>
      <c r="B8" s="5" t="s">
        <v>293</v>
      </c>
      <c r="C8" s="10" t="s">
        <v>294</v>
      </c>
      <c r="D8" s="10" t="s">
        <v>295</v>
      </c>
      <c r="E8" s="10" t="s">
        <v>296</v>
      </c>
      <c r="F8" s="13"/>
    </row>
    <row r="9" spans="1:6" x14ac:dyDescent="0.3">
      <c r="A9" s="10">
        <v>6</v>
      </c>
      <c r="B9" s="5" t="s">
        <v>297</v>
      </c>
      <c r="C9" s="10" t="s">
        <v>298</v>
      </c>
      <c r="D9" s="10" t="s">
        <v>299</v>
      </c>
      <c r="E9" s="10" t="s">
        <v>300</v>
      </c>
      <c r="F9" s="13"/>
    </row>
    <row r="10" spans="1:6" ht="26.4" x14ac:dyDescent="0.3">
      <c r="A10" s="10">
        <v>7</v>
      </c>
      <c r="B10" s="5" t="s">
        <v>301</v>
      </c>
      <c r="C10" s="10" t="s">
        <v>302</v>
      </c>
      <c r="D10" s="10" t="s">
        <v>303</v>
      </c>
      <c r="E10" s="10" t="s">
        <v>304</v>
      </c>
      <c r="F10" s="13"/>
    </row>
    <row r="11" spans="1:6" x14ac:dyDescent="0.3">
      <c r="A11" s="10">
        <v>8</v>
      </c>
      <c r="B11" s="5" t="s">
        <v>305</v>
      </c>
      <c r="C11" s="10" t="s">
        <v>306</v>
      </c>
      <c r="D11" s="10" t="s">
        <v>307</v>
      </c>
      <c r="E11" s="10" t="s">
        <v>308</v>
      </c>
      <c r="F11" s="13" t="s">
        <v>309</v>
      </c>
    </row>
    <row r="12" spans="1:6" ht="26.4" x14ac:dyDescent="0.3">
      <c r="A12" s="10">
        <v>9</v>
      </c>
      <c r="B12" s="5" t="s">
        <v>310</v>
      </c>
      <c r="C12" s="10" t="s">
        <v>311</v>
      </c>
      <c r="D12" s="10" t="s">
        <v>312</v>
      </c>
      <c r="E12" s="10" t="s">
        <v>313</v>
      </c>
      <c r="F12" s="13"/>
    </row>
    <row r="13" spans="1:6" x14ac:dyDescent="0.3">
      <c r="A13" s="10">
        <v>10</v>
      </c>
      <c r="B13" s="5" t="s">
        <v>187</v>
      </c>
      <c r="C13" s="10" t="s">
        <v>314</v>
      </c>
      <c r="D13" s="10" t="s">
        <v>315</v>
      </c>
      <c r="E13" s="10" t="s">
        <v>316</v>
      </c>
      <c r="F13" s="13"/>
    </row>
    <row r="14" spans="1:6" ht="26.4" x14ac:dyDescent="0.3">
      <c r="A14" s="10">
        <v>11</v>
      </c>
      <c r="B14" s="5" t="s">
        <v>317</v>
      </c>
      <c r="C14" s="10" t="s">
        <v>318</v>
      </c>
      <c r="D14" s="10" t="s">
        <v>319</v>
      </c>
      <c r="E14" s="10" t="s">
        <v>320</v>
      </c>
      <c r="F14" s="13"/>
    </row>
    <row r="15" spans="1:6" ht="26.4" x14ac:dyDescent="0.3">
      <c r="A15" s="10">
        <v>12</v>
      </c>
      <c r="B15" s="5" t="s">
        <v>321</v>
      </c>
      <c r="C15" s="10" t="s">
        <v>322</v>
      </c>
      <c r="D15" s="10" t="s">
        <v>323</v>
      </c>
      <c r="E15" s="10" t="s">
        <v>324</v>
      </c>
      <c r="F15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30" customWidth="1"/>
    <col min="3" max="3" width="90" customWidth="1"/>
    <col min="4" max="4" width="36" customWidth="1"/>
  </cols>
  <sheetData>
    <row r="1" spans="1:4" ht="17.399999999999999" x14ac:dyDescent="0.3">
      <c r="A1" s="1" t="s">
        <v>325</v>
      </c>
    </row>
    <row r="3" spans="1:4" ht="30" customHeight="1" x14ac:dyDescent="0.3">
      <c r="A3" s="9" t="s">
        <v>326</v>
      </c>
      <c r="B3" s="9" t="s">
        <v>242</v>
      </c>
      <c r="C3" s="9" t="s">
        <v>327</v>
      </c>
      <c r="D3" s="9" t="s">
        <v>66</v>
      </c>
    </row>
    <row r="4" spans="1:4" ht="26.4" x14ac:dyDescent="0.3">
      <c r="A4" s="10" t="s">
        <v>328</v>
      </c>
      <c r="B4" s="5" t="s">
        <v>329</v>
      </c>
      <c r="C4" s="10" t="s">
        <v>330</v>
      </c>
      <c r="D4" s="10" t="s">
        <v>331</v>
      </c>
    </row>
    <row r="5" spans="1:4" ht="26.4" x14ac:dyDescent="0.3">
      <c r="A5" s="10" t="s">
        <v>332</v>
      </c>
      <c r="B5" s="5" t="s">
        <v>333</v>
      </c>
      <c r="C5" s="10" t="s">
        <v>334</v>
      </c>
      <c r="D5" s="10" t="s">
        <v>335</v>
      </c>
    </row>
    <row r="6" spans="1:4" ht="26.4" x14ac:dyDescent="0.3">
      <c r="A6" s="10" t="s">
        <v>336</v>
      </c>
      <c r="B6" s="5" t="s">
        <v>337</v>
      </c>
      <c r="C6" s="10" t="s">
        <v>338</v>
      </c>
      <c r="D6" s="10" t="s">
        <v>339</v>
      </c>
    </row>
    <row r="7" spans="1:4" x14ac:dyDescent="0.3">
      <c r="A7" s="10" t="s">
        <v>340</v>
      </c>
      <c r="B7" s="5" t="s">
        <v>341</v>
      </c>
      <c r="C7" s="10" t="s">
        <v>342</v>
      </c>
      <c r="D7" s="10" t="s">
        <v>343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Leeme</vt:lpstr>
      <vt:lpstr>Ediciones</vt:lpstr>
      <vt:lpstr>Verticales</vt:lpstr>
      <vt:lpstr>Add-ons</vt:lpstr>
      <vt:lpstr>Especiales</vt:lpstr>
      <vt:lpstr>Conflictos</vt:lpstr>
      <vt:lpstr>Historial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Kenny Diaz Fuentes</cp:lastModifiedBy>
  <cp:revision>0</cp:revision>
  <dcterms:created xsi:type="dcterms:W3CDTF">2026-09-06T21:31:44Z</dcterms:created>
  <dcterms:modified xsi:type="dcterms:W3CDTF">2026-09-06T22:41:52Z</dcterms:modified>
  <dc:language>en-US</dc:language>
</cp:coreProperties>
</file>